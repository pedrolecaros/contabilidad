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B\Dropbox\Unidad Dropbox 1\01. MY ACCOUNTING\06. MY CLIENT\Empresas Grupo Hiriart\Antecedentes y gastos Tregualemu SpA\Cartolas 2021\"/>
    </mc:Choice>
  </mc:AlternateContent>
  <xr:revisionPtr revIDLastSave="0" documentId="13_ncr:1_{487F7239-3BC5-47E8-A51A-F7C4ABA035FF}" xr6:coauthVersionLast="47" xr6:coauthVersionMax="47" xr10:uidLastSave="{00000000-0000-0000-0000-000000000000}"/>
  <bookViews>
    <workbookView xWindow="-120" yWindow="-120" windowWidth="20730" windowHeight="11160" activeTab="3" xr2:uid="{1A90A301-8541-4E28-A672-B114C37E251F}"/>
  </bookViews>
  <sheets>
    <sheet name="Edward Chile" sheetId="1" r:id="rId1"/>
    <sheet name="Santander" sheetId="2" r:id="rId2"/>
    <sheet name="Rend. Gastos Con Cartola" sheetId="3" r:id="rId3"/>
    <sheet name="Libro Honorarios" sheetId="5" r:id="rId4"/>
    <sheet name="Libro de compras" sheetId="4" r:id="rId5"/>
    <sheet name="Rend. Gastos Sin Cartola" sheetId="6" r:id="rId6"/>
  </sheets>
  <definedNames>
    <definedName name="_xlnm._FilterDatabase" localSheetId="0" hidden="1">'Edward Chile'!$A$3:$L$34</definedName>
    <definedName name="_xlnm._FilterDatabase" localSheetId="4" hidden="1">'Libro de compras'!$A$2:$P$56</definedName>
    <definedName name="_xlnm._FilterDatabase" localSheetId="3" hidden="1">'Libro Honorarios'!$B$2:$O$21</definedName>
    <definedName name="_xlnm._FilterDatabase" localSheetId="2" hidden="1">'Rend. Gastos Con Cartola'!$L$1:$M$22</definedName>
    <definedName name="_xlnm._FilterDatabase" localSheetId="5" hidden="1">'Rend. Gastos Sin Cartola'!$A$1:$Q$47</definedName>
    <definedName name="_xlnm._FilterDatabase" localSheetId="1" hidden="1">Santander!$A$2:$L$230</definedName>
  </definedNames>
  <calcPr calcId="191029"/>
  <pivotCaches>
    <pivotCache cacheId="8" r:id="rId7"/>
    <pivotCache cacheId="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1" i="5" l="1"/>
  <c r="J11" i="5"/>
  <c r="J21" i="5" s="1"/>
  <c r="I11" i="5"/>
  <c r="L49" i="6" l="1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I21" i="5"/>
  <c r="H21" i="5"/>
  <c r="N58" i="4"/>
  <c r="L58" i="4"/>
  <c r="K58" i="4"/>
  <c r="J58" i="4"/>
  <c r="I58" i="4"/>
  <c r="L24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E220" i="2"/>
  <c r="F220" i="2"/>
  <c r="E221" i="2"/>
  <c r="F221" i="2"/>
  <c r="E222" i="2"/>
  <c r="F222" i="2"/>
  <c r="E223" i="2"/>
  <c r="F223" i="2"/>
  <c r="E224" i="2"/>
  <c r="F224" i="2"/>
  <c r="E225" i="2"/>
  <c r="F225" i="2"/>
  <c r="E226" i="2"/>
  <c r="F226" i="2"/>
  <c r="E227" i="2"/>
  <c r="F227" i="2"/>
  <c r="E228" i="2"/>
  <c r="F228" i="2"/>
  <c r="E229" i="2"/>
  <c r="F229" i="2"/>
  <c r="E230" i="2"/>
  <c r="F230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E213" i="2"/>
  <c r="F213" i="2"/>
  <c r="E214" i="2"/>
  <c r="F214" i="2"/>
  <c r="E215" i="2"/>
  <c r="F215" i="2"/>
  <c r="E216" i="2"/>
  <c r="F216" i="2"/>
  <c r="E217" i="2"/>
  <c r="F217" i="2"/>
  <c r="E218" i="2"/>
  <c r="F218" i="2"/>
  <c r="E219" i="2"/>
  <c r="F219" i="2"/>
  <c r="F202" i="2"/>
  <c r="E202" i="2"/>
  <c r="F201" i="2"/>
  <c r="E201" i="2"/>
  <c r="F200" i="2"/>
  <c r="E200" i="2"/>
  <c r="F199" i="2"/>
  <c r="E199" i="2"/>
  <c r="F198" i="2"/>
  <c r="E198" i="2"/>
  <c r="F197" i="2"/>
  <c r="E197" i="2"/>
  <c r="F196" i="2"/>
  <c r="E196" i="2"/>
  <c r="F195" i="2"/>
  <c r="E195" i="2"/>
  <c r="F194" i="2"/>
  <c r="E194" i="2"/>
  <c r="F193" i="2"/>
  <c r="E193" i="2"/>
  <c r="F192" i="2"/>
  <c r="E192" i="2"/>
  <c r="F191" i="2"/>
  <c r="E191" i="2"/>
  <c r="F190" i="2"/>
  <c r="E190" i="2"/>
  <c r="F189" i="2"/>
  <c r="E189" i="2"/>
  <c r="F188" i="2"/>
  <c r="E188" i="2"/>
  <c r="F187" i="2"/>
  <c r="E187" i="2"/>
  <c r="F186" i="2"/>
  <c r="E186" i="2"/>
  <c r="F185" i="2"/>
  <c r="E185" i="2"/>
  <c r="F184" i="2"/>
  <c r="E184" i="2"/>
  <c r="F183" i="2"/>
  <c r="E183" i="2"/>
  <c r="F182" i="2"/>
  <c r="E182" i="2"/>
  <c r="F181" i="2"/>
  <c r="E181" i="2"/>
  <c r="F180" i="2"/>
  <c r="E180" i="2"/>
  <c r="F179" i="2"/>
  <c r="E179" i="2"/>
  <c r="F178" i="2"/>
  <c r="E178" i="2"/>
  <c r="F177" i="2"/>
  <c r="E177" i="2"/>
  <c r="F176" i="2"/>
  <c r="E176" i="2"/>
  <c r="F175" i="2"/>
  <c r="E175" i="2"/>
  <c r="F174" i="2"/>
  <c r="E174" i="2"/>
  <c r="F173" i="2"/>
  <c r="E173" i="2"/>
  <c r="F172" i="2"/>
  <c r="E172" i="2"/>
  <c r="F171" i="2"/>
  <c r="E171" i="2"/>
  <c r="F170" i="2"/>
  <c r="E170" i="2"/>
  <c r="F169" i="2"/>
  <c r="E169" i="2"/>
  <c r="F168" i="2"/>
  <c r="E168" i="2"/>
  <c r="F167" i="2"/>
  <c r="E167" i="2"/>
  <c r="F166" i="2"/>
  <c r="E166" i="2"/>
  <c r="F165" i="2"/>
  <c r="E165" i="2"/>
  <c r="F164" i="2"/>
  <c r="E164" i="2"/>
  <c r="F163" i="2"/>
  <c r="E163" i="2"/>
  <c r="E115" i="2"/>
  <c r="F115" i="2"/>
  <c r="E116" i="2"/>
  <c r="F116" i="2"/>
  <c r="E117" i="2"/>
  <c r="F117" i="2"/>
  <c r="E118" i="2"/>
  <c r="F118" i="2"/>
  <c r="E119" i="2"/>
  <c r="F119" i="2"/>
  <c r="E120" i="2"/>
  <c r="F120" i="2"/>
  <c r="E121" i="2"/>
  <c r="F121" i="2"/>
  <c r="E122" i="2"/>
  <c r="F122" i="2"/>
  <c r="E123" i="2"/>
  <c r="F123" i="2"/>
  <c r="E124" i="2"/>
  <c r="F124" i="2"/>
  <c r="E125" i="2"/>
  <c r="F125" i="2"/>
  <c r="E126" i="2"/>
  <c r="F126" i="2"/>
  <c r="E127" i="2"/>
  <c r="F127" i="2"/>
  <c r="E128" i="2"/>
  <c r="F128" i="2"/>
  <c r="E129" i="2"/>
  <c r="F129" i="2"/>
  <c r="E130" i="2"/>
  <c r="F130" i="2"/>
  <c r="E131" i="2"/>
  <c r="F131" i="2"/>
  <c r="E132" i="2"/>
  <c r="F132" i="2"/>
  <c r="E133" i="2"/>
  <c r="F133" i="2"/>
  <c r="E134" i="2"/>
  <c r="F134" i="2"/>
  <c r="E135" i="2"/>
  <c r="F135" i="2"/>
  <c r="E136" i="2"/>
  <c r="F136" i="2"/>
  <c r="E137" i="2"/>
  <c r="F137" i="2"/>
  <c r="E138" i="2"/>
  <c r="F138" i="2"/>
  <c r="E139" i="2"/>
  <c r="F139" i="2"/>
  <c r="E140" i="2"/>
  <c r="F140" i="2"/>
  <c r="E141" i="2"/>
  <c r="F141" i="2"/>
  <c r="E142" i="2"/>
  <c r="F142" i="2"/>
  <c r="E143" i="2"/>
  <c r="F143" i="2"/>
  <c r="E144" i="2"/>
  <c r="F144" i="2"/>
  <c r="E145" i="2"/>
  <c r="F145" i="2"/>
  <c r="E146" i="2"/>
  <c r="F146" i="2"/>
  <c r="E147" i="2"/>
  <c r="F147" i="2"/>
  <c r="E148" i="2"/>
  <c r="F148" i="2"/>
  <c r="E149" i="2"/>
  <c r="F149" i="2"/>
  <c r="E150" i="2"/>
  <c r="F150" i="2"/>
  <c r="E151" i="2"/>
  <c r="F151" i="2"/>
  <c r="E152" i="2"/>
  <c r="F152" i="2"/>
  <c r="E153" i="2"/>
  <c r="F153" i="2"/>
  <c r="E154" i="2"/>
  <c r="F154" i="2"/>
  <c r="E155" i="2"/>
  <c r="F155" i="2"/>
  <c r="E156" i="2"/>
  <c r="F156" i="2"/>
  <c r="E157" i="2"/>
  <c r="F157" i="2"/>
  <c r="E158" i="2"/>
  <c r="F158" i="2"/>
  <c r="E159" i="2"/>
  <c r="F159" i="2"/>
  <c r="E160" i="2"/>
  <c r="F160" i="2"/>
  <c r="E161" i="2"/>
  <c r="F161" i="2"/>
  <c r="E162" i="2"/>
  <c r="F162" i="2"/>
  <c r="F114" i="2"/>
  <c r="E114" i="2"/>
  <c r="F113" i="2"/>
  <c r="E113" i="2"/>
  <c r="F112" i="2"/>
  <c r="E112" i="2"/>
  <c r="F111" i="2"/>
  <c r="E111" i="2"/>
  <c r="F110" i="2"/>
  <c r="E110" i="2"/>
  <c r="F109" i="2"/>
  <c r="E109" i="2"/>
  <c r="F108" i="2"/>
  <c r="E108" i="2"/>
  <c r="F107" i="2"/>
  <c r="E107" i="2"/>
  <c r="F106" i="2"/>
  <c r="E106" i="2"/>
  <c r="F105" i="2"/>
  <c r="E105" i="2"/>
  <c r="F104" i="2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F97" i="2"/>
  <c r="E97" i="2"/>
  <c r="E61" i="2"/>
  <c r="F61" i="2"/>
  <c r="E62" i="2"/>
  <c r="F62" i="2"/>
  <c r="E63" i="2"/>
  <c r="F63" i="2"/>
  <c r="E64" i="2"/>
  <c r="F64" i="2"/>
  <c r="E65" i="2"/>
  <c r="F65" i="2"/>
  <c r="E66" i="2"/>
  <c r="F66" i="2"/>
  <c r="E67" i="2"/>
  <c r="F67" i="2"/>
  <c r="E68" i="2"/>
  <c r="F68" i="2"/>
  <c r="E69" i="2"/>
  <c r="F69" i="2"/>
  <c r="E70" i="2"/>
  <c r="F70" i="2"/>
  <c r="E71" i="2"/>
  <c r="F71" i="2"/>
  <c r="E72" i="2"/>
  <c r="F72" i="2"/>
  <c r="E73" i="2"/>
  <c r="F73" i="2"/>
  <c r="E74" i="2"/>
  <c r="F74" i="2"/>
  <c r="E75" i="2"/>
  <c r="F75" i="2"/>
  <c r="E76" i="2"/>
  <c r="F76" i="2"/>
  <c r="E77" i="2"/>
  <c r="F77" i="2"/>
  <c r="E78" i="2"/>
  <c r="F78" i="2"/>
  <c r="E79" i="2"/>
  <c r="F79" i="2"/>
  <c r="E80" i="2"/>
  <c r="F80" i="2"/>
  <c r="E81" i="2"/>
  <c r="F81" i="2"/>
  <c r="E82" i="2"/>
  <c r="F82" i="2"/>
  <c r="E83" i="2"/>
  <c r="F83" i="2"/>
  <c r="E84" i="2"/>
  <c r="F84" i="2"/>
  <c r="E85" i="2"/>
  <c r="F85" i="2"/>
  <c r="E86" i="2"/>
  <c r="F86" i="2"/>
  <c r="E87" i="2"/>
  <c r="F87" i="2"/>
  <c r="E88" i="2"/>
  <c r="F88" i="2"/>
  <c r="E89" i="2"/>
  <c r="F89" i="2"/>
  <c r="E90" i="2"/>
  <c r="F90" i="2"/>
  <c r="E91" i="2"/>
  <c r="F91" i="2"/>
  <c r="E92" i="2"/>
  <c r="F92" i="2"/>
  <c r="E93" i="2"/>
  <c r="F93" i="2"/>
  <c r="E94" i="2"/>
  <c r="F94" i="2"/>
  <c r="E95" i="2"/>
  <c r="F95" i="2"/>
  <c r="E96" i="2"/>
  <c r="F96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G5" i="1"/>
  <c r="G6" i="1" s="1"/>
  <c r="G7" i="1" s="1"/>
  <c r="G8" i="1" s="1"/>
  <c r="G9" i="1" s="1"/>
  <c r="G10" i="1" s="1"/>
  <c r="G11" i="1" s="1"/>
  <c r="G12" i="1" s="1"/>
  <c r="O12" i="1" s="1"/>
  <c r="G4" i="2" l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3" i="1"/>
  <c r="G14" i="1" s="1"/>
  <c r="G15" i="1" s="1"/>
  <c r="G16" i="1" s="1"/>
  <c r="G17" i="1" s="1"/>
  <c r="G18" i="1" s="1"/>
  <c r="G19" i="1" s="1"/>
  <c r="G20" i="1" s="1"/>
  <c r="O20" i="1" l="1"/>
  <c r="G21" i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O34" i="1" s="1"/>
  <c r="O14" i="2"/>
  <c r="G15" i="2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O39" i="2" s="1"/>
  <c r="G40" i="2" l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O60" i="2" s="1"/>
  <c r="G61" i="2" l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O96" i="2" s="1"/>
  <c r="G97" i="2" l="1"/>
  <c r="G98" i="2" s="1"/>
  <c r="G99" i="2" s="1"/>
  <c r="G100" i="2" s="1"/>
  <c r="G101" i="2" s="1"/>
  <c r="G102" i="2" s="1"/>
  <c r="G103" i="2" s="1"/>
  <c r="G104" i="2" s="1"/>
  <c r="G105" i="2" s="1"/>
  <c r="G106" i="2" s="1"/>
  <c r="G107" i="2" s="1"/>
  <c r="G108" i="2" s="1"/>
  <c r="G109" i="2" s="1"/>
  <c r="G110" i="2" s="1"/>
  <c r="G111" i="2" s="1"/>
  <c r="G112" i="2" s="1"/>
  <c r="G113" i="2" s="1"/>
  <c r="G114" i="2" s="1"/>
  <c r="O114" i="2" s="1"/>
  <c r="G115" i="2" l="1"/>
  <c r="G116" i="2" s="1"/>
  <c r="G117" i="2" s="1"/>
  <c r="G118" i="2" s="1"/>
  <c r="G119" i="2" s="1"/>
  <c r="G120" i="2" s="1"/>
  <c r="G121" i="2" s="1"/>
  <c r="G122" i="2" s="1"/>
  <c r="G123" i="2" s="1"/>
  <c r="G124" i="2" s="1"/>
  <c r="G125" i="2" s="1"/>
  <c r="G126" i="2" s="1"/>
  <c r="G127" i="2" s="1"/>
  <c r="G128" i="2" s="1"/>
  <c r="G129" i="2" s="1"/>
  <c r="G130" i="2" s="1"/>
  <c r="G131" i="2" s="1"/>
  <c r="G132" i="2" s="1"/>
  <c r="G133" i="2" s="1"/>
  <c r="G134" i="2" s="1"/>
  <c r="G135" i="2" s="1"/>
  <c r="G136" i="2" s="1"/>
  <c r="G137" i="2" s="1"/>
  <c r="G138" i="2" s="1"/>
  <c r="G139" i="2" s="1"/>
  <c r="G140" i="2" s="1"/>
  <c r="G141" i="2" s="1"/>
  <c r="G142" i="2" s="1"/>
  <c r="G143" i="2" s="1"/>
  <c r="G144" i="2" s="1"/>
  <c r="G145" i="2" s="1"/>
  <c r="G146" i="2" s="1"/>
  <c r="G147" i="2" s="1"/>
  <c r="G148" i="2" s="1"/>
  <c r="G149" i="2" s="1"/>
  <c r="G150" i="2" s="1"/>
  <c r="G151" i="2" s="1"/>
  <c r="G152" i="2" s="1"/>
  <c r="G153" i="2" s="1"/>
  <c r="G154" i="2" s="1"/>
  <c r="G155" i="2" s="1"/>
  <c r="G156" i="2" s="1"/>
  <c r="G157" i="2" s="1"/>
  <c r="G158" i="2" s="1"/>
  <c r="G159" i="2" s="1"/>
  <c r="G160" i="2" s="1"/>
  <c r="G161" i="2" s="1"/>
  <c r="G162" i="2" s="1"/>
  <c r="O162" i="2" s="1"/>
  <c r="G163" i="2" l="1"/>
  <c r="G164" i="2" s="1"/>
  <c r="G165" i="2" s="1"/>
  <c r="G166" i="2" s="1"/>
  <c r="G167" i="2" s="1"/>
  <c r="G168" i="2" s="1"/>
  <c r="G169" i="2" s="1"/>
  <c r="G170" i="2" s="1"/>
  <c r="G171" i="2" s="1"/>
  <c r="G172" i="2" s="1"/>
  <c r="G173" i="2" s="1"/>
  <c r="G174" i="2" s="1"/>
  <c r="G175" i="2" s="1"/>
  <c r="G176" i="2" s="1"/>
  <c r="G177" i="2" s="1"/>
  <c r="G178" i="2" s="1"/>
  <c r="G179" i="2" s="1"/>
  <c r="G180" i="2" s="1"/>
  <c r="G181" i="2" s="1"/>
  <c r="G182" i="2" s="1"/>
  <c r="G183" i="2" s="1"/>
  <c r="G184" i="2" s="1"/>
  <c r="G185" i="2" s="1"/>
  <c r="G186" i="2" s="1"/>
  <c r="G187" i="2" s="1"/>
  <c r="G188" i="2" s="1"/>
  <c r="G189" i="2" s="1"/>
  <c r="G190" i="2" s="1"/>
  <c r="G191" i="2" s="1"/>
  <c r="G192" i="2" s="1"/>
  <c r="G193" i="2" s="1"/>
  <c r="G194" i="2" s="1"/>
  <c r="G195" i="2" s="1"/>
  <c r="G196" i="2" s="1"/>
  <c r="G197" i="2" s="1"/>
  <c r="G198" i="2" s="1"/>
  <c r="G199" i="2" s="1"/>
  <c r="G200" i="2" s="1"/>
  <c r="G201" i="2" s="1"/>
  <c r="G202" i="2" s="1"/>
  <c r="O202" i="2" s="1"/>
  <c r="G203" i="2" l="1"/>
  <c r="G204" i="2" s="1"/>
  <c r="G205" i="2" s="1"/>
  <c r="G206" i="2" s="1"/>
  <c r="G207" i="2" s="1"/>
  <c r="G208" i="2" s="1"/>
  <c r="G209" i="2" s="1"/>
  <c r="G210" i="2" s="1"/>
  <c r="G211" i="2" s="1"/>
  <c r="G212" i="2" s="1"/>
  <c r="G213" i="2" s="1"/>
  <c r="G214" i="2" s="1"/>
  <c r="G215" i="2" s="1"/>
  <c r="G216" i="2" s="1"/>
  <c r="G217" i="2" s="1"/>
  <c r="G218" i="2" s="1"/>
  <c r="G219" i="2" s="1"/>
  <c r="O219" i="2" s="1"/>
  <c r="G220" i="2" l="1"/>
  <c r="G221" i="2" s="1"/>
  <c r="G222" i="2" s="1"/>
  <c r="G223" i="2" s="1"/>
  <c r="G224" i="2" s="1"/>
  <c r="G225" i="2" s="1"/>
  <c r="G226" i="2" s="1"/>
  <c r="G227" i="2" s="1"/>
  <c r="G228" i="2" s="1"/>
  <c r="G229" i="2" s="1"/>
  <c r="G230" i="2" s="1"/>
  <c r="O230" i="2" s="1"/>
</calcChain>
</file>

<file path=xl/sharedStrings.xml><?xml version="1.0" encoding="utf-8"?>
<sst xmlns="http://schemas.openxmlformats.org/spreadsheetml/2006/main" count="2625" uniqueCount="708">
  <si>
    <t>30/12</t>
  </si>
  <si>
    <t>SALDO INICIAL</t>
  </si>
  <si>
    <t>04/01</t>
  </si>
  <si>
    <t>TRASPASO A:Servicio Agricola Y Gan</t>
  </si>
  <si>
    <t>INTERNET</t>
  </si>
  <si>
    <t>TRASPASO DE:FELIPE ANDRES HIRIART</t>
  </si>
  <si>
    <t>07/01</t>
  </si>
  <si>
    <t>TRASPASO A:Fernando Vilches</t>
  </si>
  <si>
    <t>13/01</t>
  </si>
  <si>
    <t>TRASPASO A CUENTA:003100020502</t>
  </si>
  <si>
    <t>19/01</t>
  </si>
  <si>
    <t>TRASPASO A:Inversiones La Vuelta L</t>
  </si>
  <si>
    <t>25/01</t>
  </si>
  <si>
    <t>26/01</t>
  </si>
  <si>
    <t>TRASPASO A:Manuel Labrin</t>
  </si>
  <si>
    <t>Fecha</t>
  </si>
  <si>
    <t>Descripción</t>
  </si>
  <si>
    <t>Canal o Sucursal</t>
  </si>
  <si>
    <t>Cargos (PESOS)</t>
  </si>
  <si>
    <t>Abonos (PESOS)</t>
  </si>
  <si>
    <t>Saldo</t>
  </si>
  <si>
    <t>05/02</t>
  </si>
  <si>
    <t>10/02</t>
  </si>
  <si>
    <t>16/02</t>
  </si>
  <si>
    <t>TRASPASO A:Pedro Lecaros</t>
  </si>
  <si>
    <t>17/02</t>
  </si>
  <si>
    <t>TRASPASO A:Notaria Quirihue Raul L</t>
  </si>
  <si>
    <t>18/02</t>
  </si>
  <si>
    <t>TRASPASO DE:Pablo Andres Quezada G</t>
  </si>
  <si>
    <t>23/02</t>
  </si>
  <si>
    <t>TRASPASO DE:Carla</t>
  </si>
  <si>
    <t>25/02</t>
  </si>
  <si>
    <t>09/03</t>
  </si>
  <si>
    <t>PAGO EN SII.CL*</t>
  </si>
  <si>
    <t>CENTRAL</t>
  </si>
  <si>
    <t>12/03</t>
  </si>
  <si>
    <t>15/03</t>
  </si>
  <si>
    <t>19/03</t>
  </si>
  <si>
    <t>TRASPASO A:Felipe Hiriart</t>
  </si>
  <si>
    <t>TRASPASO A:La Nube Fotografia Ltda</t>
  </si>
  <si>
    <t>23/03</t>
  </si>
  <si>
    <t>TRASPASO DE:Daniel</t>
  </si>
  <si>
    <t>25/03</t>
  </si>
  <si>
    <t>31/03</t>
  </si>
  <si>
    <t>TRASPASO A:Carla Heredia Alarcon</t>
  </si>
  <si>
    <t>TRASPASO DE:LIPE EDUARDO FIERRO LE</t>
  </si>
  <si>
    <t>TRASPASO DE:JAEL PAZ GAZALEZ YANEZ</t>
  </si>
  <si>
    <t>BANCO EDWARD CHILE</t>
  </si>
  <si>
    <t>FECHA</t>
  </si>
  <si>
    <r>
      <rPr>
        <sz val="10"/>
        <color rgb="FF000000"/>
        <rFont val="Calibri"/>
        <family val="2"/>
      </rPr>
      <t>03/05/2021</t>
    </r>
  </si>
  <si>
    <r>
      <rPr>
        <sz val="10"/>
        <color rgb="FF000000"/>
        <rFont val="Calibri"/>
        <family val="2"/>
      </rPr>
      <t>07/05/2021</t>
    </r>
  </si>
  <si>
    <r>
      <rPr>
        <sz val="10"/>
        <color rgb="FF000000"/>
        <rFont val="Calibri"/>
        <family val="2"/>
      </rPr>
      <t>10/05/2021</t>
    </r>
  </si>
  <si>
    <r>
      <rPr>
        <sz val="10"/>
        <color rgb="FF000000"/>
        <rFont val="Calibri"/>
        <family val="2"/>
      </rPr>
      <t>11/05/2021</t>
    </r>
  </si>
  <si>
    <r>
      <rPr>
        <sz val="10"/>
        <color rgb="FF000000"/>
        <rFont val="Calibri"/>
        <family val="2"/>
      </rPr>
      <t>12/05/2021</t>
    </r>
  </si>
  <si>
    <r>
      <rPr>
        <sz val="10"/>
        <color rgb="FF000000"/>
        <rFont val="Calibri"/>
        <family val="2"/>
      </rPr>
      <t>13/05/2021</t>
    </r>
  </si>
  <si>
    <r>
      <rPr>
        <sz val="10"/>
        <color rgb="FF000000"/>
        <rFont val="Calibri"/>
        <family val="2"/>
      </rPr>
      <t>14/05/2021</t>
    </r>
  </si>
  <si>
    <r>
      <rPr>
        <sz val="10"/>
        <color rgb="FF000000"/>
        <rFont val="Calibri"/>
        <family val="2"/>
      </rPr>
      <t>24/05/2021</t>
    </r>
  </si>
  <si>
    <r>
      <rPr>
        <sz val="10"/>
        <color rgb="FF000000"/>
        <rFont val="Calibri"/>
        <family val="2"/>
      </rPr>
      <t>25/05/2021</t>
    </r>
  </si>
  <si>
    <r>
      <rPr>
        <sz val="10"/>
        <color rgb="FF000000"/>
        <rFont val="Calibri"/>
        <family val="2"/>
      </rPr>
      <t>26/05/2021</t>
    </r>
  </si>
  <si>
    <t>DESCRIPCIÓN MOVIMIENTO</t>
  </si>
  <si>
    <t>Compra FACEBK 69FJQZWGB2</t>
  </si>
  <si>
    <t>Compra COPEC ADM Y GEST</t>
  </si>
  <si>
    <t>Compra LOCAL LABBE</t>
  </si>
  <si>
    <t>Giro en Cajero Automático</t>
  </si>
  <si>
    <t>Compra COPEC MAULE</t>
  </si>
  <si>
    <t>Compra PRONTO COPEC MAUL</t>
  </si>
  <si>
    <t>0134942649 Transf. SANDRA</t>
  </si>
  <si>
    <t>Transf.Internet a 13.952.284-2</t>
  </si>
  <si>
    <t>Compra COPEC SAN PABLO</t>
  </si>
  <si>
    <t>Compra COPEC LOS ANGELES</t>
  </si>
  <si>
    <t>Transf.Internet a 76.556.843-9</t>
  </si>
  <si>
    <t>Compra PRONTO COPEC LOS</t>
  </si>
  <si>
    <t>Compra SUMUPLa Casona SP</t>
  </si>
  <si>
    <t>Compra SHELL A. PRAT 409</t>
  </si>
  <si>
    <t>Compra COPEC MARIQUINA</t>
  </si>
  <si>
    <t>Compra WUFEHR</t>
  </si>
  <si>
    <t>Compra 36 NOTARIA DE SAN</t>
  </si>
  <si>
    <t>Compra COPEC ROMERAL</t>
  </si>
  <si>
    <t>Compra DON GUALO</t>
  </si>
  <si>
    <t>Transf.Internet a 0156407445</t>
  </si>
  <si>
    <t>Transf.Internet a 0082612289</t>
  </si>
  <si>
    <t>Transf.Internet a 0163673002</t>
  </si>
  <si>
    <t>MONTO</t>
  </si>
  <si>
    <t>CARGO</t>
  </si>
  <si>
    <t>ABONO</t>
  </si>
  <si>
    <t>SALDO</t>
  </si>
  <si>
    <t>Periodo</t>
  </si>
  <si>
    <t>Transf.Internet a 0168828187</t>
  </si>
  <si>
    <t>Transf.Internet a 17.671.646-0</t>
  </si>
  <si>
    <t>Transf.Internet a 13.494.264-9</t>
  </si>
  <si>
    <t>0107920897 Transf. SEPULVEDA COFRE</t>
  </si>
  <si>
    <t>Compra SKY AIRLINES SANT</t>
  </si>
  <si>
    <t>0139522842 Transf. QUINTANA JARAMI</t>
  </si>
  <si>
    <t>Transf.Internet a 13.972.555-7</t>
  </si>
  <si>
    <t>Transf.Internet a 0771605729</t>
  </si>
  <si>
    <t>Transf.Internet a 0043441558</t>
  </si>
  <si>
    <t>Transf.Internet a 0760852465</t>
  </si>
  <si>
    <t>Transf.Internet a 15.902.452-0</t>
  </si>
  <si>
    <t>Compra COPEC PANGUILEMU</t>
  </si>
  <si>
    <t>Compra EL CORRALERO</t>
  </si>
  <si>
    <t>Compra COPEC COBQUECURA</t>
  </si>
  <si>
    <t>Compra RESTAURANT LA ACO</t>
  </si>
  <si>
    <r>
      <rPr>
        <sz val="10"/>
        <color rgb="FF000000"/>
        <rFont val="Calibri"/>
        <family val="2"/>
      </rPr>
      <t>01/06/2021</t>
    </r>
  </si>
  <si>
    <r>
      <rPr>
        <sz val="10"/>
        <color rgb="FF000000"/>
        <rFont val="Calibri"/>
        <family val="2"/>
      </rPr>
      <t>04/06/2021</t>
    </r>
  </si>
  <si>
    <r>
      <rPr>
        <sz val="10"/>
        <color rgb="FF000000"/>
        <rFont val="Calibri"/>
        <family val="2"/>
      </rPr>
      <t>14/06/2021</t>
    </r>
  </si>
  <si>
    <r>
      <rPr>
        <sz val="10"/>
        <color rgb="FF000000"/>
        <rFont val="Calibri"/>
        <family val="2"/>
      </rPr>
      <t>15/06/2021</t>
    </r>
  </si>
  <si>
    <r>
      <rPr>
        <sz val="10"/>
        <color rgb="FF000000"/>
        <rFont val="Calibri"/>
        <family val="2"/>
      </rPr>
      <t>16/06/2021</t>
    </r>
  </si>
  <si>
    <r>
      <rPr>
        <sz val="10"/>
        <color rgb="FF000000"/>
        <rFont val="Calibri"/>
        <family val="2"/>
      </rPr>
      <t>23/06/2021</t>
    </r>
  </si>
  <si>
    <r>
      <rPr>
        <sz val="10"/>
        <color rgb="FF000000"/>
        <rFont val="Calibri"/>
        <family val="2"/>
      </rPr>
      <t>24/06/2021</t>
    </r>
  </si>
  <si>
    <r>
      <rPr>
        <sz val="10"/>
        <color rgb="FF000000"/>
        <rFont val="Calibri"/>
        <family val="2"/>
      </rPr>
      <t>29/06/2021</t>
    </r>
  </si>
  <si>
    <r>
      <rPr>
        <sz val="10"/>
        <color rgb="FF000000"/>
        <rFont val="Calibri"/>
        <family val="2"/>
      </rPr>
      <t>30/06/2021</t>
    </r>
  </si>
  <si>
    <t>Depósito con Vales Vista</t>
  </si>
  <si>
    <t>0184045982 Transf. ARTURO DIEGO HE</t>
  </si>
  <si>
    <t>0162824252 Transf HENRIQUEZ A</t>
  </si>
  <si>
    <t>Compra FUEGO DIVINO</t>
  </si>
  <si>
    <t>Compra COPEC COMERC LONC</t>
  </si>
  <si>
    <t>Transf.Internet a 10.792.089-7</t>
  </si>
  <si>
    <t>Compra COPEC BARRA SAN J</t>
  </si>
  <si>
    <t>0795464301 Transf. SOCIEDAD COMERC</t>
  </si>
  <si>
    <t>2447205 CHEQUE DEVUELTO NUMERO</t>
  </si>
  <si>
    <t>Compra ADMINISTRADORA DE</t>
  </si>
  <si>
    <t>Transf.Internet a 6.362.853-0</t>
  </si>
  <si>
    <t>PAGO EN LINEA S.I.I.</t>
  </si>
  <si>
    <t>Compra COPEC ADMINIST DE</t>
  </si>
  <si>
    <t>COM.MANTENCION PLAN</t>
  </si>
  <si>
    <r>
      <rPr>
        <sz val="10"/>
        <color rgb="FF000000"/>
        <rFont val="Calibri"/>
        <family val="2"/>
      </rPr>
      <t>01/07/2021</t>
    </r>
  </si>
  <si>
    <r>
      <rPr>
        <sz val="10"/>
        <color rgb="FF000000"/>
        <rFont val="Calibri"/>
        <family val="2"/>
      </rPr>
      <t>02/07/2021</t>
    </r>
  </si>
  <si>
    <r>
      <rPr>
        <sz val="10"/>
        <color rgb="FF000000"/>
        <rFont val="Calibri"/>
        <family val="2"/>
      </rPr>
      <t>05/07/2021</t>
    </r>
  </si>
  <si>
    <r>
      <rPr>
        <sz val="10"/>
        <color rgb="FF000000"/>
        <rFont val="Calibri"/>
        <family val="2"/>
      </rPr>
      <t>06/07/2021</t>
    </r>
  </si>
  <si>
    <r>
      <rPr>
        <sz val="10"/>
        <color rgb="FF000000"/>
        <rFont val="Calibri"/>
        <family val="2"/>
      </rPr>
      <t>08/07/2021</t>
    </r>
  </si>
  <si>
    <r>
      <rPr>
        <sz val="10"/>
        <color rgb="FF000000"/>
        <rFont val="Calibri"/>
        <family val="2"/>
      </rPr>
      <t>09/07/2021</t>
    </r>
  </si>
  <si>
    <r>
      <rPr>
        <sz val="10"/>
        <color rgb="FF000000"/>
        <rFont val="Calibri"/>
        <family val="2"/>
      </rPr>
      <t>12/07/2021</t>
    </r>
  </si>
  <si>
    <r>
      <rPr>
        <sz val="10"/>
        <color rgb="FF000000"/>
        <rFont val="Calibri"/>
        <family val="2"/>
      </rPr>
      <t>14/07/2021</t>
    </r>
  </si>
  <si>
    <r>
      <rPr>
        <sz val="10"/>
        <color rgb="FF000000"/>
        <rFont val="Calibri"/>
        <family val="2"/>
      </rPr>
      <t>19/07/2021</t>
    </r>
  </si>
  <si>
    <r>
      <rPr>
        <sz val="10"/>
        <color rgb="FF000000"/>
        <rFont val="Calibri"/>
        <family val="2"/>
      </rPr>
      <t>21/07/2021</t>
    </r>
  </si>
  <si>
    <r>
      <rPr>
        <sz val="10"/>
        <color rgb="FF000000"/>
        <rFont val="Calibri"/>
        <family val="2"/>
      </rPr>
      <t>27/07/2021</t>
    </r>
  </si>
  <si>
    <r>
      <rPr>
        <sz val="10"/>
        <color rgb="FF000000"/>
        <rFont val="Calibri"/>
        <family val="2"/>
      </rPr>
      <t>28/07/2021</t>
    </r>
  </si>
  <si>
    <r>
      <rPr>
        <sz val="10"/>
        <color rgb="FF000000"/>
        <rFont val="Calibri"/>
        <family val="2"/>
      </rPr>
      <t>30/07/2021</t>
    </r>
  </si>
  <si>
    <t>Depósito en Efectivo</t>
  </si>
  <si>
    <t>Transf.Internet a 11.200.813-6</t>
  </si>
  <si>
    <t>Transf.Internet a 0107554106</t>
  </si>
  <si>
    <t>Compra PETROBRAS ENEA</t>
  </si>
  <si>
    <t>Transf.Internet a 14.320.976-8</t>
  </si>
  <si>
    <t>0091428717 Transf. ROSE MARIE BARR</t>
  </si>
  <si>
    <t>0162833715 Transf. ALEXIA CONSTANZ</t>
  </si>
  <si>
    <t>0760213047 Transf. SOCIEDAD ER</t>
  </si>
  <si>
    <r>
      <rPr>
        <sz val="10"/>
        <color rgb="FF000000"/>
        <rFont val="Calibri"/>
        <family val="2"/>
      </rPr>
      <t>02/08/2021</t>
    </r>
  </si>
  <si>
    <r>
      <rPr>
        <sz val="10"/>
        <color rgb="FF000000"/>
        <rFont val="Calibri"/>
        <family val="2"/>
      </rPr>
      <t>06/08/2021</t>
    </r>
  </si>
  <si>
    <r>
      <rPr>
        <sz val="10"/>
        <color rgb="FF000000"/>
        <rFont val="Calibri"/>
        <family val="2"/>
      </rPr>
      <t>11/08/2021</t>
    </r>
  </si>
  <si>
    <r>
      <rPr>
        <sz val="10"/>
        <color rgb="FF000000"/>
        <rFont val="Calibri"/>
        <family val="2"/>
      </rPr>
      <t>16/08/2021</t>
    </r>
  </si>
  <si>
    <r>
      <rPr>
        <sz val="10"/>
        <color rgb="FF000000"/>
        <rFont val="Calibri"/>
        <family val="2"/>
      </rPr>
      <t>17/08/2021</t>
    </r>
  </si>
  <si>
    <r>
      <rPr>
        <sz val="10"/>
        <color rgb="FF000000"/>
        <rFont val="Calibri"/>
        <family val="2"/>
      </rPr>
      <t>18/08/2021</t>
    </r>
  </si>
  <si>
    <r>
      <rPr>
        <sz val="10"/>
        <color rgb="FF000000"/>
        <rFont val="Calibri"/>
        <family val="2"/>
      </rPr>
      <t>19/08/2021</t>
    </r>
  </si>
  <si>
    <r>
      <rPr>
        <sz val="10"/>
        <color rgb="FF000000"/>
        <rFont val="Calibri"/>
        <family val="2"/>
      </rPr>
      <t>23/08/2021</t>
    </r>
  </si>
  <si>
    <r>
      <rPr>
        <sz val="10"/>
        <color rgb="FF000000"/>
        <rFont val="Calibri"/>
        <family val="2"/>
      </rPr>
      <t>24/08/2021</t>
    </r>
  </si>
  <si>
    <r>
      <rPr>
        <sz val="10"/>
        <color rgb="FF000000"/>
        <rFont val="Calibri"/>
        <family val="2"/>
      </rPr>
      <t>27/08/2021</t>
    </r>
  </si>
  <si>
    <r>
      <rPr>
        <sz val="10"/>
        <color rgb="FF000000"/>
        <rFont val="Calibri"/>
        <family val="2"/>
      </rPr>
      <t>30/08/2021</t>
    </r>
  </si>
  <si>
    <r>
      <rPr>
        <sz val="10"/>
        <color rgb="FF000000"/>
        <rFont val="Calibri"/>
        <family val="2"/>
      </rPr>
      <t>31/08/2021</t>
    </r>
  </si>
  <si>
    <t>0159305635 Transf. Mauricio</t>
  </si>
  <si>
    <t>00156407445 Transf. FELIPE AND</t>
  </si>
  <si>
    <t>Transf.Internet a 3o mismo Bco</t>
  </si>
  <si>
    <t>Compra COPEC PORTADA LAS</t>
  </si>
  <si>
    <t>Compra TEKKROM</t>
  </si>
  <si>
    <t>Compra EL PUERTO</t>
  </si>
  <si>
    <t>0159305635 Transf. Mauricio Andres</t>
  </si>
  <si>
    <t>Compra COPEC SAN RAFAEL</t>
  </si>
  <si>
    <t>Compra PRONTO COPEC SN R</t>
  </si>
  <si>
    <t>Transf.Internet a 77.312.818-9</t>
  </si>
  <si>
    <t>Transf.Internet a 0153769826</t>
  </si>
  <si>
    <t>Compra STARBUCKS COFFE L</t>
  </si>
  <si>
    <t>016590852K Transf. FELIPE</t>
  </si>
  <si>
    <r>
      <rPr>
        <sz val="10"/>
        <color rgb="FF000000"/>
        <rFont val="Calibri"/>
        <family val="2"/>
      </rPr>
      <t>01/09/2021</t>
    </r>
  </si>
  <si>
    <r>
      <rPr>
        <sz val="10"/>
        <color rgb="FF000000"/>
        <rFont val="Calibri"/>
        <family val="2"/>
      </rPr>
      <t>02/09/2021</t>
    </r>
  </si>
  <si>
    <r>
      <rPr>
        <sz val="10"/>
        <color rgb="FF000000"/>
        <rFont val="Calibri"/>
        <family val="2"/>
      </rPr>
      <t>03/09/2021</t>
    </r>
  </si>
  <si>
    <r>
      <rPr>
        <sz val="10"/>
        <color rgb="FF000000"/>
        <rFont val="Calibri"/>
        <family val="2"/>
      </rPr>
      <t>06/09/2021</t>
    </r>
  </si>
  <si>
    <r>
      <rPr>
        <sz val="10"/>
        <color rgb="FF000000"/>
        <rFont val="Calibri"/>
        <family val="2"/>
      </rPr>
      <t>07/09/2021</t>
    </r>
  </si>
  <si>
    <r>
      <rPr>
        <sz val="10"/>
        <color rgb="FF000000"/>
        <rFont val="Calibri"/>
        <family val="2"/>
      </rPr>
      <t>08/09/2021</t>
    </r>
  </si>
  <si>
    <r>
      <rPr>
        <sz val="10"/>
        <color rgb="FF000000"/>
        <rFont val="Calibri"/>
        <family val="2"/>
      </rPr>
      <t>09/09/2021</t>
    </r>
  </si>
  <si>
    <r>
      <rPr>
        <sz val="10"/>
        <color rgb="FF000000"/>
        <rFont val="Calibri"/>
        <family val="2"/>
      </rPr>
      <t>10/09/2021</t>
    </r>
  </si>
  <si>
    <r>
      <rPr>
        <sz val="10"/>
        <color rgb="FF000000"/>
        <rFont val="Calibri"/>
        <family val="2"/>
      </rPr>
      <t>13/09/2021</t>
    </r>
  </si>
  <si>
    <r>
      <rPr>
        <sz val="10"/>
        <color rgb="FF000000"/>
        <rFont val="Calibri"/>
        <family val="2"/>
      </rPr>
      <t>14/09/2021</t>
    </r>
  </si>
  <si>
    <r>
      <rPr>
        <sz val="10"/>
        <color rgb="FF000000"/>
        <rFont val="Calibri"/>
        <family val="2"/>
      </rPr>
      <t>15/09/2021</t>
    </r>
  </si>
  <si>
    <r>
      <rPr>
        <sz val="10"/>
        <color rgb="FF000000"/>
        <rFont val="Calibri"/>
        <family val="2"/>
      </rPr>
      <t>22/09/2021</t>
    </r>
  </si>
  <si>
    <r>
      <rPr>
        <sz val="10"/>
        <color rgb="FF000000"/>
        <rFont val="Calibri"/>
        <family val="2"/>
      </rPr>
      <t>23/09/2021</t>
    </r>
  </si>
  <si>
    <r>
      <rPr>
        <sz val="10"/>
        <color rgb="FF000000"/>
        <rFont val="Calibri"/>
        <family val="2"/>
      </rPr>
      <t>28/09/2021</t>
    </r>
  </si>
  <si>
    <r>
      <rPr>
        <sz val="10"/>
        <color rgb="FF000000"/>
        <rFont val="Calibri"/>
        <family val="2"/>
      </rPr>
      <t>30/09/2021</t>
    </r>
  </si>
  <si>
    <t>Transf.Internet a 76.106.956-K</t>
  </si>
  <si>
    <t>Transf.Internet a 16.882.818-7</t>
  </si>
  <si>
    <t>Compra SUMUPPAN DE PIEDR</t>
  </si>
  <si>
    <t>Compra COPEC RANCAGUA</t>
  </si>
  <si>
    <t>Compra COPEC</t>
  </si>
  <si>
    <t>0129697334 Transf.</t>
  </si>
  <si>
    <t>0771605729 Transf. ECOX SPA</t>
  </si>
  <si>
    <t>Transf.Internet a 15.640.430-6</t>
  </si>
  <si>
    <t>0761858653 Transf. Inversiones Jop</t>
  </si>
  <si>
    <t>Transf.Internet a 15.365.214-7</t>
  </si>
  <si>
    <t>Transf.Internet a 076106956K</t>
  </si>
  <si>
    <t>Transf.Internet a 0774601414</t>
  </si>
  <si>
    <r>
      <rPr>
        <sz val="10"/>
        <color rgb="FF000000"/>
        <rFont val="Calibri"/>
        <family val="2"/>
      </rPr>
      <t>01/10/2021</t>
    </r>
  </si>
  <si>
    <r>
      <rPr>
        <sz val="10"/>
        <color rgb="FF000000"/>
        <rFont val="Calibri"/>
        <family val="2"/>
      </rPr>
      <t>12/10/2021</t>
    </r>
  </si>
  <si>
    <r>
      <rPr>
        <sz val="10"/>
        <color rgb="FF000000"/>
        <rFont val="Calibri"/>
        <family val="2"/>
      </rPr>
      <t>13/10/2021</t>
    </r>
  </si>
  <si>
    <r>
      <rPr>
        <sz val="10"/>
        <color rgb="FF000000"/>
        <rFont val="Calibri"/>
        <family val="2"/>
      </rPr>
      <t>14/10/2021</t>
    </r>
  </si>
  <si>
    <r>
      <rPr>
        <sz val="10"/>
        <color rgb="FF000000"/>
        <rFont val="Calibri"/>
        <family val="2"/>
      </rPr>
      <t>15/10/2021</t>
    </r>
  </si>
  <si>
    <r>
      <rPr>
        <sz val="10"/>
        <color rgb="FF000000"/>
        <rFont val="Calibri"/>
        <family val="2"/>
      </rPr>
      <t>18/10/2021</t>
    </r>
  </si>
  <si>
    <r>
      <rPr>
        <sz val="10"/>
        <color rgb="FF000000"/>
        <rFont val="Calibri"/>
        <family val="2"/>
      </rPr>
      <t>19/10/2021</t>
    </r>
  </si>
  <si>
    <r>
      <rPr>
        <sz val="10"/>
        <color rgb="FF000000"/>
        <rFont val="Calibri"/>
        <family val="2"/>
      </rPr>
      <t>20/10/2021</t>
    </r>
  </si>
  <si>
    <r>
      <rPr>
        <sz val="10"/>
        <color rgb="FF000000"/>
        <rFont val="Calibri"/>
        <family val="2"/>
      </rPr>
      <t>22/10/2021</t>
    </r>
  </si>
  <si>
    <r>
      <rPr>
        <sz val="10"/>
        <color rgb="FF000000"/>
        <rFont val="Calibri"/>
        <family val="2"/>
      </rPr>
      <t>25/10/2021</t>
    </r>
  </si>
  <si>
    <r>
      <rPr>
        <sz val="10"/>
        <color rgb="FF000000"/>
        <rFont val="Calibri"/>
        <family val="2"/>
      </rPr>
      <t>28/10/2021</t>
    </r>
  </si>
  <si>
    <t>16283371-5 transferencia ALEXIA CO</t>
  </si>
  <si>
    <t>0104148514 Transf. MARCELINO</t>
  </si>
  <si>
    <t>00176021888 Transf. JUAN SEBAS</t>
  </si>
  <si>
    <t>Compra FACEBK 9AP4U6THB2</t>
  </si>
  <si>
    <t>Transf.Internet a 0774654836</t>
  </si>
  <si>
    <t>0605050026 P.PROVEEDOR CARABIN</t>
  </si>
  <si>
    <t>Transf.Internet a 15.377.703-9</t>
  </si>
  <si>
    <t>03/11/2021</t>
  </si>
  <si>
    <t>04/11/2021</t>
  </si>
  <si>
    <t>08/11/2021</t>
  </si>
  <si>
    <t>10/11/2021</t>
  </si>
  <si>
    <t>18/11/2021</t>
  </si>
  <si>
    <t>22/11/2021</t>
  </si>
  <si>
    <t>25/11/2021</t>
  </si>
  <si>
    <t>26/11/2021</t>
  </si>
  <si>
    <t>30/11/2021</t>
  </si>
  <si>
    <r>
      <rPr>
        <sz val="10"/>
        <color rgb="FF000000"/>
        <rFont val="Calibri"/>
        <family val="2"/>
      </rPr>
      <t>01/12/2021</t>
    </r>
  </si>
  <si>
    <r>
      <rPr>
        <sz val="10"/>
        <color rgb="FF000000"/>
        <rFont val="Calibri"/>
        <family val="2"/>
      </rPr>
      <t>03/12/2021</t>
    </r>
  </si>
  <si>
    <r>
      <rPr>
        <sz val="10"/>
        <color rgb="FF000000"/>
        <rFont val="Calibri"/>
        <family val="2"/>
      </rPr>
      <t>07/12/2021</t>
    </r>
  </si>
  <si>
    <r>
      <rPr>
        <sz val="10"/>
        <color rgb="FF000000"/>
        <rFont val="Calibri"/>
        <family val="2"/>
      </rPr>
      <t>09/12/2021</t>
    </r>
  </si>
  <si>
    <r>
      <rPr>
        <sz val="10"/>
        <color rgb="FF000000"/>
        <rFont val="Calibri"/>
        <family val="2"/>
      </rPr>
      <t>22/12/2021</t>
    </r>
  </si>
  <si>
    <r>
      <rPr>
        <sz val="10"/>
        <color rgb="FF000000"/>
        <rFont val="Calibri"/>
        <family val="2"/>
      </rPr>
      <t>23/12/2021</t>
    </r>
  </si>
  <si>
    <r>
      <rPr>
        <sz val="10"/>
        <color rgb="FF000000"/>
        <rFont val="Calibri"/>
        <family val="2"/>
      </rPr>
      <t>28/12/2021</t>
    </r>
  </si>
  <si>
    <r>
      <rPr>
        <sz val="10"/>
        <color rgb="FF000000"/>
        <rFont val="Calibri"/>
        <family val="2"/>
      </rPr>
      <t>07/04/2021</t>
    </r>
  </si>
  <si>
    <r>
      <rPr>
        <sz val="10"/>
        <color rgb="FF000000"/>
        <rFont val="Calibri"/>
        <family val="2"/>
      </rPr>
      <t>09/04/2021</t>
    </r>
  </si>
  <si>
    <r>
      <rPr>
        <sz val="10"/>
        <color rgb="FF000000"/>
        <rFont val="Calibri"/>
        <family val="2"/>
      </rPr>
      <t>13/04/2021</t>
    </r>
  </si>
  <si>
    <r>
      <rPr>
        <sz val="10"/>
        <color rgb="FF000000"/>
        <rFont val="Calibri"/>
        <family val="2"/>
      </rPr>
      <t>15/04/2021</t>
    </r>
  </si>
  <si>
    <r>
      <rPr>
        <sz val="10"/>
        <color rgb="FF000000"/>
        <rFont val="Calibri"/>
        <family val="2"/>
      </rPr>
      <t>16/04/2021</t>
    </r>
  </si>
  <si>
    <r>
      <rPr>
        <sz val="10"/>
        <color rgb="FF000000"/>
        <rFont val="Calibri"/>
        <family val="2"/>
      </rPr>
      <t>21/04/2021</t>
    </r>
  </si>
  <si>
    <r>
      <rPr>
        <sz val="10"/>
        <color rgb="FF000000"/>
        <rFont val="Calibri"/>
        <family val="2"/>
      </rPr>
      <t>22/04/2021</t>
    </r>
  </si>
  <si>
    <r>
      <rPr>
        <sz val="10"/>
        <color rgb="FF000000"/>
        <rFont val="Calibri"/>
        <family val="2"/>
      </rPr>
      <t>23/04/2021</t>
    </r>
  </si>
  <si>
    <r>
      <rPr>
        <sz val="10"/>
        <color rgb="FF000000"/>
        <rFont val="Calibri"/>
        <family val="2"/>
      </rPr>
      <t>30/04/2021</t>
    </r>
  </si>
  <si>
    <t>0156407445 Transf. Felipe Andres H</t>
  </si>
  <si>
    <t>Compra FACEBK *ADS</t>
  </si>
  <si>
    <t>Reverso Compra WebPay</t>
  </si>
  <si>
    <t>Compra CHOKOLATE SPA</t>
  </si>
  <si>
    <t>00166253098 Transf. KATERINE V</t>
  </si>
  <si>
    <t>Gastos Notariales CARGO POR GASTOS</t>
  </si>
  <si>
    <t>Ok.</t>
  </si>
  <si>
    <t>Ok - Ingreso</t>
  </si>
  <si>
    <t>RUT</t>
  </si>
  <si>
    <t>RECEPTOR O BENEFICIARIO</t>
  </si>
  <si>
    <t>15640744-5</t>
  </si>
  <si>
    <t>FELIPE ANDRES HIRIART</t>
  </si>
  <si>
    <t>16367300-2</t>
  </si>
  <si>
    <t>PEDRO LECAROS SOTOMAYOR</t>
  </si>
  <si>
    <t>INGRESO / GASTO</t>
  </si>
  <si>
    <t>FACEBOOK</t>
  </si>
  <si>
    <t>Leiva Uribe-echeverria Raul Enrique</t>
  </si>
  <si>
    <t>GASTO NOTARIO</t>
  </si>
  <si>
    <t>GASTO PUBLICIDAD</t>
  </si>
  <si>
    <t>Andres Rieutord Alvarado</t>
  </si>
  <si>
    <t>4344155-8</t>
  </si>
  <si>
    <t>CHOKOLATE SPA</t>
  </si>
  <si>
    <t>FLETE</t>
  </si>
  <si>
    <t>Godoy Gutierrez Katerine Vanessa</t>
  </si>
  <si>
    <t>ANTICIPO TERRENO</t>
  </si>
  <si>
    <t>16625309-8</t>
  </si>
  <si>
    <t>17602188-8</t>
  </si>
  <si>
    <t>Baeza Gonzalez Juan Sebastian</t>
  </si>
  <si>
    <t>Por confirmar</t>
  </si>
  <si>
    <t>Barriga Muñoz Rose Marie</t>
  </si>
  <si>
    <t>9142871-7</t>
  </si>
  <si>
    <t>Jorquera Ramirez Marcelino Alberto</t>
  </si>
  <si>
    <t>10414851-4</t>
  </si>
  <si>
    <t>Sepulveda Cofre Irlanda Jimena</t>
  </si>
  <si>
    <t>10792089-7</t>
  </si>
  <si>
    <t>Reed Sepulveda Sussan Rossemary</t>
  </si>
  <si>
    <t>12969733-4</t>
  </si>
  <si>
    <t>13494264-9</t>
  </si>
  <si>
    <t>Figueroa Osses Sandra Angelica</t>
  </si>
  <si>
    <t>Quintana Jaramillo Constanza Andrea</t>
  </si>
  <si>
    <t>13952284-2</t>
  </si>
  <si>
    <t>Victoriano Salazar Mauricio Andres</t>
  </si>
  <si>
    <t>15930563-5</t>
  </si>
  <si>
    <t>Henriquez Avila Pamela Claudia</t>
  </si>
  <si>
    <t>16283371-5</t>
  </si>
  <si>
    <t>Cattan Alamo Alexia Constanza</t>
  </si>
  <si>
    <t>Duran Fuenzalida Felipe Alfonso</t>
  </si>
  <si>
    <t>16590852K</t>
  </si>
  <si>
    <t>18404598-2</t>
  </si>
  <si>
    <t>60505002-6</t>
  </si>
  <si>
    <t>76021304-7</t>
  </si>
  <si>
    <t>76185865-3</t>
  </si>
  <si>
    <t>77160572-9</t>
  </si>
  <si>
    <t>ECOX SPA</t>
  </si>
  <si>
    <t>PRESTAMO</t>
  </si>
  <si>
    <t>79546430-1</t>
  </si>
  <si>
    <t>SOCIEDAD COMERCIALIZADORA Y DE SERVICIOS MACAL LIMITADA</t>
  </si>
  <si>
    <t>CHEQUE DEVUELTO</t>
  </si>
  <si>
    <t>COMISION</t>
  </si>
  <si>
    <t>OTROS GASTOS</t>
  </si>
  <si>
    <t>COPEC</t>
  </si>
  <si>
    <t>COMBUSTIBLE</t>
  </si>
  <si>
    <t>DON GUALO</t>
  </si>
  <si>
    <t>ALIMENTACION</t>
  </si>
  <si>
    <t>EL CORRALERO</t>
  </si>
  <si>
    <t>EL PUERTO</t>
  </si>
  <si>
    <t>FUEGO DIVINO</t>
  </si>
  <si>
    <t>LOCAL LABBE</t>
  </si>
  <si>
    <t>PETROBRAS</t>
  </si>
  <si>
    <t>SHELL</t>
  </si>
  <si>
    <t>RESTAURANT LACO</t>
  </si>
  <si>
    <t>SKY AIRLINES</t>
  </si>
  <si>
    <t>PASAJE VIAJE</t>
  </si>
  <si>
    <t>STARBUCKS</t>
  </si>
  <si>
    <t>TIPOGRAFIA Y FOTOCOPIA</t>
  </si>
  <si>
    <t>WUFEHR</t>
  </si>
  <si>
    <t>DEPOSITO VALE VISTA</t>
  </si>
  <si>
    <t>DEPOSITO EFECTIVO</t>
  </si>
  <si>
    <t>GASTO NOTARIAL</t>
  </si>
  <si>
    <t>GIRO CAJERO</t>
  </si>
  <si>
    <t>SII</t>
  </si>
  <si>
    <t>IMPUESTOS</t>
  </si>
  <si>
    <t>Rivera Carreño Flavia Carolina</t>
  </si>
  <si>
    <t>8261228-9</t>
  </si>
  <si>
    <t>10755410-6</t>
  </si>
  <si>
    <t>Hiriart Blome Jorge Alberto</t>
  </si>
  <si>
    <t>15376982-6</t>
  </si>
  <si>
    <t>Devolucion prestamo</t>
  </si>
  <si>
    <t>16882818-7</t>
  </si>
  <si>
    <t>ROGELIO SOTO BUSTOS</t>
  </si>
  <si>
    <t>INVERSIONES LA VUELTA LIMITADA</t>
  </si>
  <si>
    <t>76085246-5</t>
  </si>
  <si>
    <t>ALOJAMIENTO</t>
  </si>
  <si>
    <t>GENERAL ALQUILER DE MAQUINARIAS CHILE S.A.</t>
  </si>
  <si>
    <t>76.106.956-K</t>
  </si>
  <si>
    <t>ARRIENDO MAQUINARIA</t>
  </si>
  <si>
    <t>CUENTA POR COBRAR</t>
  </si>
  <si>
    <t>FUTRONO SPA</t>
  </si>
  <si>
    <t>77460141-4</t>
  </si>
  <si>
    <t>PARQUE SUR SPA</t>
  </si>
  <si>
    <t>77465483-6</t>
  </si>
  <si>
    <t>10.792.089-7</t>
  </si>
  <si>
    <t>JUAN ISIDRO ARIAS ARENAS</t>
  </si>
  <si>
    <t>11200813-6</t>
  </si>
  <si>
    <t>13.494.264-9</t>
  </si>
  <si>
    <t>13.952.284-2</t>
  </si>
  <si>
    <t>Quezada Guenante Pablo Andres</t>
  </si>
  <si>
    <t>13.972.555-7</t>
  </si>
  <si>
    <t>Labrin Ordenes Manuel Alejandro</t>
  </si>
  <si>
    <t>14.320.976-8</t>
  </si>
  <si>
    <t>Salgado Cornu Juan Pablo</t>
  </si>
  <si>
    <t>15.365.214-7</t>
  </si>
  <si>
    <t>Gonzalez Coquelet Sebastian Andres</t>
  </si>
  <si>
    <t>15377703-9</t>
  </si>
  <si>
    <t>Parro Fluxa Jose Miguel</t>
  </si>
  <si>
    <t>15640430-6</t>
  </si>
  <si>
    <t>Hanna Rojas Alejandra Nadezka</t>
  </si>
  <si>
    <t>15902452-0</t>
  </si>
  <si>
    <t>SERVICIOS CONTABLES</t>
  </si>
  <si>
    <t>Vilches Belmar Fernando Isaias</t>
  </si>
  <si>
    <t>17671646-0</t>
  </si>
  <si>
    <t>Greene Weller Esteban Andres</t>
  </si>
  <si>
    <t>6.362.853-0</t>
  </si>
  <si>
    <t>6362853-0</t>
  </si>
  <si>
    <t>76106956-K</t>
  </si>
  <si>
    <t>LA CASONA SPA</t>
  </si>
  <si>
    <t>76556843-9</t>
  </si>
  <si>
    <t>COSTA ÑUBLE GESTIÓN INMOBILIARIA Y HOSPEDAJES SPA</t>
  </si>
  <si>
    <t>77312818-9</t>
  </si>
  <si>
    <t>SERVICIO AGRICOLA Y GANADERO</t>
  </si>
  <si>
    <t>GASTOS LEGALES</t>
  </si>
  <si>
    <t>Carla</t>
  </si>
  <si>
    <t>Daniel</t>
  </si>
  <si>
    <t>Lipe Eduardo Fierro</t>
  </si>
  <si>
    <t>Jael Paz Gazalez Yanez</t>
  </si>
  <si>
    <t>76047546-7</t>
  </si>
  <si>
    <t>LA NUBE FOTOGRAFIA LIMITADA</t>
  </si>
  <si>
    <t>Publicidad</t>
  </si>
  <si>
    <t>Carla Heredia Alarcon</t>
  </si>
  <si>
    <t>14631298-5</t>
  </si>
  <si>
    <t>Francisco José del Brutto</t>
  </si>
  <si>
    <t>Documentado</t>
  </si>
  <si>
    <t>Ref</t>
  </si>
  <si>
    <t>Referencia</t>
  </si>
  <si>
    <t>N°</t>
  </si>
  <si>
    <t>Ref. Respaldo</t>
  </si>
  <si>
    <t>Mes</t>
  </si>
  <si>
    <t>Naturaleza de la operación</t>
  </si>
  <si>
    <t>Tipo de gasto</t>
  </si>
  <si>
    <t>Rut proveedor</t>
  </si>
  <si>
    <t>Razon social proveedor</t>
  </si>
  <si>
    <t>Giro / actividad del proveedor</t>
  </si>
  <si>
    <t>N° Boleta y/o factura</t>
  </si>
  <si>
    <t>Forma de pago</t>
  </si>
  <si>
    <t>Monto</t>
  </si>
  <si>
    <t>Dcto. Respaldo</t>
  </si>
  <si>
    <t>Balance / Resultado</t>
  </si>
  <si>
    <t>Estado</t>
  </si>
  <si>
    <t>Observación de asesores</t>
  </si>
  <si>
    <t>A4</t>
  </si>
  <si>
    <t>Otros</t>
  </si>
  <si>
    <t>Gastos notariales</t>
  </si>
  <si>
    <t>6904806-4</t>
  </si>
  <si>
    <t>Eduardo Enrique Tavolari</t>
  </si>
  <si>
    <t>Servicio Notarial</t>
  </si>
  <si>
    <t>1.- Contado</t>
  </si>
  <si>
    <t>Boleta de honorarios</t>
  </si>
  <si>
    <t>Sin cartola</t>
  </si>
  <si>
    <t>Resultado</t>
  </si>
  <si>
    <t>1.- Aceptado</t>
  </si>
  <si>
    <t>S/O</t>
  </si>
  <si>
    <t>A30</t>
  </si>
  <si>
    <t>Combustible</t>
  </si>
  <si>
    <t>Shell Eliodoro Yanez</t>
  </si>
  <si>
    <t>Venta de combustible</t>
  </si>
  <si>
    <t>S/N</t>
  </si>
  <si>
    <t>Comprobante de pago</t>
  </si>
  <si>
    <t>A6</t>
  </si>
  <si>
    <t>Modificaciones de servidumbre</t>
  </si>
  <si>
    <t>10.755.410-6</t>
  </si>
  <si>
    <t>Andres Felipe Rieutord Alvarado</t>
  </si>
  <si>
    <t>Notario publico</t>
  </si>
  <si>
    <t>A7</t>
  </si>
  <si>
    <t>Compraventa</t>
  </si>
  <si>
    <t>A8</t>
  </si>
  <si>
    <t>Instrucciones</t>
  </si>
  <si>
    <t>A9</t>
  </si>
  <si>
    <t>Inscripciones servidumbres</t>
  </si>
  <si>
    <t>4.344.155-8</t>
  </si>
  <si>
    <t>Raul Leiva Uribe-Echeverria</t>
  </si>
  <si>
    <t>Notario y conservador de bienes raices</t>
  </si>
  <si>
    <t>Cartola Santader</t>
  </si>
  <si>
    <t>A10</t>
  </si>
  <si>
    <t>Peaje. Viaje semana 13 de Mayo 2021</t>
  </si>
  <si>
    <t>Peajes</t>
  </si>
  <si>
    <t>77337752-9</t>
  </si>
  <si>
    <t>Soc. Conc. Ruta 5 Talca Chillan S.A.</t>
  </si>
  <si>
    <t>Construccion de carreteras y lineas de ferrocarril</t>
  </si>
  <si>
    <t>A11-44</t>
  </si>
  <si>
    <t>Combustible. Viaje semana 13 de Mayo</t>
  </si>
  <si>
    <t>77215640-5</t>
  </si>
  <si>
    <t>Administradora de Ventas al Detalle</t>
  </si>
  <si>
    <t>Boleta</t>
  </si>
  <si>
    <t>A12</t>
  </si>
  <si>
    <t>96848050-2</t>
  </si>
  <si>
    <t>Ruta de los Rios S.A.</t>
  </si>
  <si>
    <t>A13</t>
  </si>
  <si>
    <t>96859650-5</t>
  </si>
  <si>
    <t>Ruta de la Araucania S.A.</t>
  </si>
  <si>
    <t>A14-15</t>
  </si>
  <si>
    <t>Estacionamiento. Viaje semana 13 de Mayo 2021</t>
  </si>
  <si>
    <t>Estacionamiento</t>
  </si>
  <si>
    <t>76643823-7</t>
  </si>
  <si>
    <t>Serviest SpA</t>
  </si>
  <si>
    <t>Estacionamientos</t>
  </si>
  <si>
    <t>A16</t>
  </si>
  <si>
    <t>Alimentación</t>
  </si>
  <si>
    <t>Colacion</t>
  </si>
  <si>
    <t>Soc. Com. Alimentos Suprema Ltda</t>
  </si>
  <si>
    <t>Restaurant</t>
  </si>
  <si>
    <t>A17</t>
  </si>
  <si>
    <t>96854510-8</t>
  </si>
  <si>
    <t>Soc. C. de Los Lagos S.A.</t>
  </si>
  <si>
    <t>A18-19</t>
  </si>
  <si>
    <t>76746083-K</t>
  </si>
  <si>
    <t>Comercial y Serv. Futrono Ltda</t>
  </si>
  <si>
    <t>A20</t>
  </si>
  <si>
    <t>A21</t>
  </si>
  <si>
    <t>A22</t>
  </si>
  <si>
    <t>A23</t>
  </si>
  <si>
    <t>96.875.230-8</t>
  </si>
  <si>
    <t>Ruta del Maipo Soc Concesionaria S.A.</t>
  </si>
  <si>
    <t>A24</t>
  </si>
  <si>
    <t>A25</t>
  </si>
  <si>
    <t>A26</t>
  </si>
  <si>
    <t>A27</t>
  </si>
  <si>
    <t>96843170-6</t>
  </si>
  <si>
    <t>Ruta del Bosque Soc. Concesionaria</t>
  </si>
  <si>
    <t>A28</t>
  </si>
  <si>
    <t>A29</t>
  </si>
  <si>
    <t>Comida. Viaje semana 13 de Mayo 2021</t>
  </si>
  <si>
    <t>Colaciones</t>
  </si>
  <si>
    <t>Adm de ventas al detalle ltda</t>
  </si>
  <si>
    <t>Estacion Servicios</t>
  </si>
  <si>
    <t>A31</t>
  </si>
  <si>
    <t>A32</t>
  </si>
  <si>
    <t>A33</t>
  </si>
  <si>
    <t>A34</t>
  </si>
  <si>
    <t>A35</t>
  </si>
  <si>
    <t>Combustible. Viaje semana 13 de Mayo 2021</t>
  </si>
  <si>
    <t>A36</t>
  </si>
  <si>
    <t>A37</t>
  </si>
  <si>
    <t>A38</t>
  </si>
  <si>
    <t>A39</t>
  </si>
  <si>
    <t>Plaza Nueva Aldea</t>
  </si>
  <si>
    <t>A41</t>
  </si>
  <si>
    <t>A40-42</t>
  </si>
  <si>
    <t>A43</t>
  </si>
  <si>
    <t>A45</t>
  </si>
  <si>
    <t>A46-52</t>
  </si>
  <si>
    <t>8847300-K</t>
  </si>
  <si>
    <t>Administración y Gestion de Estaciones</t>
  </si>
  <si>
    <t>A47</t>
  </si>
  <si>
    <t>A48</t>
  </si>
  <si>
    <t>A49</t>
  </si>
  <si>
    <t>76039636-2</t>
  </si>
  <si>
    <t>Soc. Agricola Forestal Comercial e Ind.</t>
  </si>
  <si>
    <t>A50</t>
  </si>
  <si>
    <t>A51</t>
  </si>
  <si>
    <t>A53</t>
  </si>
  <si>
    <t>A54</t>
  </si>
  <si>
    <t>A55</t>
  </si>
  <si>
    <t>Hector Farias Romero</t>
  </si>
  <si>
    <t>A56</t>
  </si>
  <si>
    <t>A57</t>
  </si>
  <si>
    <t>A58</t>
  </si>
  <si>
    <t>A61</t>
  </si>
  <si>
    <t>A62</t>
  </si>
  <si>
    <t>A63</t>
  </si>
  <si>
    <t>A64</t>
  </si>
  <si>
    <t>Reserva ticket de vuelo</t>
  </si>
  <si>
    <t>88.417.000-1</t>
  </si>
  <si>
    <t>Sky Airline S.A.</t>
  </si>
  <si>
    <t>Aerolinea</t>
  </si>
  <si>
    <t>SDTTWR</t>
  </si>
  <si>
    <t>A65</t>
  </si>
  <si>
    <t>Inscripciones compraventa</t>
  </si>
  <si>
    <t>A66</t>
  </si>
  <si>
    <t>Escritura de compra venta</t>
  </si>
  <si>
    <t>Constanza Quintana Jaramillo</t>
  </si>
  <si>
    <t>Servicios de asesoriamiento notariales</t>
  </si>
  <si>
    <t>A67</t>
  </si>
  <si>
    <t>A71</t>
  </si>
  <si>
    <t>A72</t>
  </si>
  <si>
    <t>A76-77</t>
  </si>
  <si>
    <t>76778358-2</t>
  </si>
  <si>
    <t>Pan de Piedra Restaurant</t>
  </si>
  <si>
    <t>A78</t>
  </si>
  <si>
    <t>Peaje. Viaje semana 10 de Octubre 2021</t>
  </si>
  <si>
    <t>Peaje</t>
  </si>
  <si>
    <t>A79-80</t>
  </si>
  <si>
    <t>Combustible. Viaje semana 10 de Octubre 2021</t>
  </si>
  <si>
    <t>76167134-0</t>
  </si>
  <si>
    <t>Comercial Maho Ltda</t>
  </si>
  <si>
    <t>A81</t>
  </si>
  <si>
    <t>A82</t>
  </si>
  <si>
    <t>A83-84</t>
  </si>
  <si>
    <t>76719925-2</t>
  </si>
  <si>
    <t>Estación de Servicios Cavallieri Ltda</t>
  </si>
  <si>
    <t>A85</t>
  </si>
  <si>
    <t>A86</t>
  </si>
  <si>
    <t>A87-88</t>
  </si>
  <si>
    <t>Mandato</t>
  </si>
  <si>
    <t>Nro</t>
  </si>
  <si>
    <t>Tipo Doc</t>
  </si>
  <si>
    <t>Tipo Compra</t>
  </si>
  <si>
    <t>RUT Proveedor</t>
  </si>
  <si>
    <t>Razon Social</t>
  </si>
  <si>
    <t>Folio</t>
  </si>
  <si>
    <t>Fecha Docto</t>
  </si>
  <si>
    <t>Monto Exento</t>
  </si>
  <si>
    <t>Monto Neto</t>
  </si>
  <si>
    <t>Monto IVA Recuperable</t>
  </si>
  <si>
    <t>Monto Iva No Recuperable</t>
  </si>
  <si>
    <t>Codigo IVA No Rec.</t>
  </si>
  <si>
    <t>Monto Total</t>
  </si>
  <si>
    <t>Row Labels</t>
  </si>
  <si>
    <t>Sum of Monto Exento</t>
  </si>
  <si>
    <t>Sum of Monto Neto</t>
  </si>
  <si>
    <t>Sum of Monto IVA Recuperable</t>
  </si>
  <si>
    <t>Sum of Monto Iva No Recuperable</t>
  </si>
  <si>
    <t>Sum of Monto Total</t>
  </si>
  <si>
    <t>IVA no Recuperable</t>
  </si>
  <si>
    <t>Cartola Edward</t>
  </si>
  <si>
    <t>Ene</t>
  </si>
  <si>
    <t>Sin Cartola</t>
  </si>
  <si>
    <t>Feb</t>
  </si>
  <si>
    <t>Del Giro</t>
  </si>
  <si>
    <t>76608469-9</t>
  </si>
  <si>
    <t>V  V ASESORES INTEGRALES SPA</t>
  </si>
  <si>
    <t>Mar</t>
  </si>
  <si>
    <t>78286370-3</t>
  </si>
  <si>
    <t>TEK-KROM ACCION GRAFICA COMPANIA LIMITADA</t>
  </si>
  <si>
    <t>May</t>
  </si>
  <si>
    <t>A3</t>
  </si>
  <si>
    <t>Jun</t>
  </si>
  <si>
    <t>Jul</t>
  </si>
  <si>
    <t>Ago</t>
  </si>
  <si>
    <t>Sept</t>
  </si>
  <si>
    <t>Cartola Santander</t>
  </si>
  <si>
    <t>Oct</t>
  </si>
  <si>
    <t>Nov</t>
  </si>
  <si>
    <t>Dic</t>
  </si>
  <si>
    <t>Grand Total</t>
  </si>
  <si>
    <t>A59-60</t>
  </si>
  <si>
    <t>89862200-2</t>
  </si>
  <si>
    <t>LATAM AIRLINES GROUP S.A.</t>
  </si>
  <si>
    <t>97036000-K</t>
  </si>
  <si>
    <t>Santander - Chile</t>
  </si>
  <si>
    <t>76444735-2</t>
  </si>
  <si>
    <t>SOC INMOB Y HOTELERA PARADA LTDA</t>
  </si>
  <si>
    <t>79857120-6</t>
  </si>
  <si>
    <t>INMOBILIARIA E INVERSIONES GREENE SPA</t>
  </si>
  <si>
    <t>83547100-4</t>
  </si>
  <si>
    <t>AUTORENTAS DEL PACIFICO SpA</t>
  </si>
  <si>
    <t>COSTA Ã‘UBLE GESTIÃ“N INMOBILIARIA Y HOSPEDAJES SPA</t>
  </si>
  <si>
    <t>77421439-9</t>
  </si>
  <si>
    <t>ALERCE CONSULTORES SPA</t>
  </si>
  <si>
    <t>A89</t>
  </si>
  <si>
    <t>Total anual</t>
  </si>
  <si>
    <t>No</t>
  </si>
  <si>
    <t>Emisor</t>
  </si>
  <si>
    <t>Dirección</t>
  </si>
  <si>
    <t>Bruto</t>
  </si>
  <si>
    <t>Retención 11,5%</t>
  </si>
  <si>
    <t>Retención 3%</t>
  </si>
  <si>
    <t>Liquido</t>
  </si>
  <si>
    <t>Av. Cuarto Centenario 1822, Las Condes</t>
  </si>
  <si>
    <t>A1</t>
  </si>
  <si>
    <t>Camila Grob Lunecke</t>
  </si>
  <si>
    <t>16339156-2</t>
  </si>
  <si>
    <t>Asturias 200, Las Condes</t>
  </si>
  <si>
    <t>A2</t>
  </si>
  <si>
    <t xml:space="preserve">Claudinet Pereira Gonzalez </t>
  </si>
  <si>
    <t>3375204-0</t>
  </si>
  <si>
    <t>Manuel Rodriguez 784, Linares</t>
  </si>
  <si>
    <t>A5</t>
  </si>
  <si>
    <t>Manuel Alejandro Labrin Ordene</t>
  </si>
  <si>
    <t>14320976-8</t>
  </si>
  <si>
    <t>Roble 424, San Carlos</t>
  </si>
  <si>
    <t>A69</t>
  </si>
  <si>
    <t>La Concepción 65, Providencia, Santiago</t>
  </si>
  <si>
    <t>A68</t>
  </si>
  <si>
    <t>A70</t>
  </si>
  <si>
    <t>A73</t>
  </si>
  <si>
    <t>A74</t>
  </si>
  <si>
    <t>A75</t>
  </si>
  <si>
    <t>A90</t>
  </si>
  <si>
    <t>A91</t>
  </si>
  <si>
    <t>A92</t>
  </si>
  <si>
    <t>A93</t>
  </si>
  <si>
    <t>A94</t>
  </si>
  <si>
    <t>A95</t>
  </si>
  <si>
    <t>A96</t>
  </si>
  <si>
    <t>A97</t>
  </si>
  <si>
    <t>Total retenido</t>
  </si>
  <si>
    <t>LC</t>
  </si>
  <si>
    <t>Ene(1)</t>
  </si>
  <si>
    <t>Feb(1)</t>
  </si>
  <si>
    <t>Servicios Graficos</t>
  </si>
  <si>
    <t>May(1)</t>
  </si>
  <si>
    <t>Jul(1)</t>
  </si>
  <si>
    <t>Sep(7)</t>
  </si>
  <si>
    <t>Jul(7)</t>
  </si>
  <si>
    <t>Jul(6)</t>
  </si>
  <si>
    <t>Ago(8)</t>
  </si>
  <si>
    <t>Sep(5)</t>
  </si>
  <si>
    <t>Sep(6)</t>
  </si>
  <si>
    <t>Oct(1)</t>
  </si>
  <si>
    <t>Dic(1)</t>
  </si>
  <si>
    <t>Oct(2)</t>
  </si>
  <si>
    <t>Oct(6)</t>
  </si>
  <si>
    <t>Nov(1)</t>
  </si>
  <si>
    <t>Mar(2)</t>
  </si>
  <si>
    <t>LH</t>
  </si>
  <si>
    <t>Servicios Topograficos</t>
  </si>
  <si>
    <t>RG</t>
  </si>
  <si>
    <t>No 6/ A9</t>
  </si>
  <si>
    <t>A57 / 58</t>
  </si>
  <si>
    <t>May(2)</t>
  </si>
  <si>
    <t>Sep(8)</t>
  </si>
  <si>
    <t>Ago(2)</t>
  </si>
  <si>
    <t>Sep(1)</t>
  </si>
  <si>
    <t>A77/A78</t>
  </si>
  <si>
    <t>BH</t>
  </si>
  <si>
    <t>A90/A91</t>
  </si>
  <si>
    <t>A93/A94</t>
  </si>
  <si>
    <t>Concepto</t>
  </si>
  <si>
    <t>Centro</t>
  </si>
  <si>
    <t>Gasto Notarial</t>
  </si>
  <si>
    <t>Notario Publico</t>
  </si>
  <si>
    <t>Brochure</t>
  </si>
  <si>
    <t>Conservador Bns Raices</t>
  </si>
  <si>
    <t>Servicios de topografia</t>
  </si>
  <si>
    <t>Gasto de topografia</t>
  </si>
  <si>
    <t>Servicio audivisual y edición</t>
  </si>
  <si>
    <t>COMISION VENTA TERRENO</t>
  </si>
  <si>
    <t>Febrero</t>
  </si>
  <si>
    <t>Abril</t>
  </si>
  <si>
    <t>Mayo</t>
  </si>
  <si>
    <t>Junio</t>
  </si>
  <si>
    <t>Julio</t>
  </si>
  <si>
    <t>Agosto</t>
  </si>
  <si>
    <t>Septiembre</t>
  </si>
  <si>
    <t>Octubre</t>
  </si>
  <si>
    <t>Sum of Monto</t>
  </si>
  <si>
    <t>Rendición de gastos de febrero</t>
  </si>
  <si>
    <t>4201-02 - COLACIONES</t>
  </si>
  <si>
    <t>4201-01 - COMBUSTIBLE</t>
  </si>
  <si>
    <t>4201-03 - GASTOS DE PEAJES</t>
  </si>
  <si>
    <t>4201-15 - GASTOS NOTARIALES</t>
  </si>
  <si>
    <t>2105-01 - RENDICIÓN DE GASTOS POR PAGAR</t>
  </si>
  <si>
    <t>Ago(9)</t>
  </si>
  <si>
    <t>Rendicion de gastos con cartola</t>
  </si>
  <si>
    <t>REMBOLSO DE GASTOS SII</t>
  </si>
  <si>
    <t>Clientes por cobrar</t>
  </si>
  <si>
    <t>REVERSO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</si>
</sst>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8"/>
      <color theme="0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75">
    <xf numFmtId="0" fontId="0" fillId="0" borderId="0" xfId="0"/>
    <xf numFmtId="16" fontId="0" fillId="0" borderId="0" xfId="0" applyNumberFormat="1"/>
    <xf numFmtId="41" fontId="0" fillId="0" borderId="0" xfId="1" applyFont="1"/>
    <xf numFmtId="0" fontId="2" fillId="2" borderId="0" xfId="0" applyFont="1" applyFill="1"/>
    <xf numFmtId="14" fontId="0" fillId="0" borderId="0" xfId="0" applyNumberFormat="1"/>
    <xf numFmtId="0" fontId="3" fillId="0" borderId="1" xfId="0" applyFont="1" applyBorder="1"/>
    <xf numFmtId="0" fontId="4" fillId="0" borderId="1" xfId="0" applyFont="1" applyBorder="1"/>
    <xf numFmtId="3" fontId="4" fillId="0" borderId="1" xfId="0" applyNumberFormat="1" applyFont="1" applyBorder="1" applyAlignment="1">
      <alignment horizontal="right"/>
    </xf>
    <xf numFmtId="41" fontId="3" fillId="0" borderId="1" xfId="1" applyFont="1" applyBorder="1"/>
    <xf numFmtId="17" fontId="3" fillId="0" borderId="1" xfId="0" applyNumberFormat="1" applyFont="1" applyBorder="1"/>
    <xf numFmtId="41" fontId="0" fillId="0" borderId="0" xfId="0" applyNumberFormat="1"/>
    <xf numFmtId="17" fontId="3" fillId="0" borderId="2" xfId="0" applyNumberFormat="1" applyFont="1" applyBorder="1"/>
    <xf numFmtId="0" fontId="0" fillId="0" borderId="2" xfId="0" applyBorder="1"/>
    <xf numFmtId="41" fontId="0" fillId="0" borderId="2" xfId="1" applyFont="1" applyBorder="1"/>
    <xf numFmtId="17" fontId="3" fillId="3" borderId="1" xfId="0" applyNumberFormat="1" applyFont="1" applyFill="1" applyBorder="1"/>
    <xf numFmtId="0" fontId="4" fillId="3" borderId="1" xfId="0" applyFont="1" applyFill="1" applyBorder="1"/>
    <xf numFmtId="3" fontId="4" fillId="3" borderId="1" xfId="0" applyNumberFormat="1" applyFont="1" applyFill="1" applyBorder="1" applyAlignment="1">
      <alignment horizontal="right"/>
    </xf>
    <xf numFmtId="41" fontId="0" fillId="0" borderId="0" xfId="1" applyFont="1" applyBorder="1"/>
    <xf numFmtId="17" fontId="3" fillId="3" borderId="2" xfId="0" applyNumberFormat="1" applyFont="1" applyFill="1" applyBorder="1"/>
    <xf numFmtId="0" fontId="0" fillId="3" borderId="2" xfId="0" applyFill="1" applyBorder="1"/>
    <xf numFmtId="41" fontId="0" fillId="3" borderId="2" xfId="1" applyFont="1" applyFill="1" applyBorder="1"/>
    <xf numFmtId="41" fontId="0" fillId="3" borderId="0" xfId="1" applyFont="1" applyFill="1" applyBorder="1"/>
    <xf numFmtId="0" fontId="2" fillId="2" borderId="0" xfId="0" applyFont="1" applyFill="1" applyAlignment="1">
      <alignment horizontal="center"/>
    </xf>
    <xf numFmtId="41" fontId="3" fillId="0" borderId="0" xfId="1" applyFont="1" applyBorder="1" applyAlignment="1">
      <alignment horizontal="center"/>
    </xf>
    <xf numFmtId="3" fontId="4" fillId="0" borderId="0" xfId="0" applyNumberFormat="1" applyFont="1" applyBorder="1" applyAlignment="1">
      <alignment horizontal="center"/>
    </xf>
    <xf numFmtId="3" fontId="4" fillId="3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17" fontId="3" fillId="4" borderId="1" xfId="0" applyNumberFormat="1" applyFont="1" applyFill="1" applyBorder="1"/>
    <xf numFmtId="0" fontId="4" fillId="4" borderId="1" xfId="0" applyFont="1" applyFill="1" applyBorder="1"/>
    <xf numFmtId="3" fontId="4" fillId="4" borderId="1" xfId="0" applyNumberFormat="1" applyFont="1" applyFill="1" applyBorder="1" applyAlignment="1">
      <alignment horizontal="right"/>
    </xf>
    <xf numFmtId="3" fontId="4" fillId="4" borderId="0" xfId="0" applyNumberFormat="1" applyFont="1" applyFill="1" applyBorder="1" applyAlignment="1">
      <alignment horizontal="center"/>
    </xf>
    <xf numFmtId="3" fontId="4" fillId="0" borderId="0" xfId="0" applyNumberFormat="1" applyFont="1" applyFill="1" applyBorder="1" applyAlignment="1">
      <alignment horizontal="center"/>
    </xf>
    <xf numFmtId="3" fontId="4" fillId="0" borderId="0" xfId="0" applyNumberFormat="1" applyFont="1" applyBorder="1" applyAlignment="1">
      <alignment horizontal="left"/>
    </xf>
    <xf numFmtId="41" fontId="4" fillId="0" borderId="0" xfId="1" applyFont="1" applyBorder="1" applyAlignment="1">
      <alignment horizontal="center"/>
    </xf>
    <xf numFmtId="3" fontId="4" fillId="3" borderId="0" xfId="0" applyNumberFormat="1" applyFont="1" applyFill="1" applyBorder="1" applyAlignment="1">
      <alignment horizontal="left"/>
    </xf>
    <xf numFmtId="3" fontId="4" fillId="0" borderId="0" xfId="0" applyNumberFormat="1" applyFont="1" applyBorder="1" applyAlignment="1">
      <alignment horizontal="right"/>
    </xf>
    <xf numFmtId="3" fontId="4" fillId="4" borderId="0" xfId="0" applyNumberFormat="1" applyFont="1" applyFill="1" applyBorder="1" applyAlignment="1">
      <alignment horizontal="right"/>
    </xf>
    <xf numFmtId="0" fontId="6" fillId="5" borderId="2" xfId="0" applyFont="1" applyFill="1" applyBorder="1" applyAlignment="1">
      <alignment horizontal="center" vertical="center" wrapText="1"/>
    </xf>
    <xf numFmtId="0" fontId="7" fillId="6" borderId="2" xfId="0" applyFont="1" applyFill="1" applyBorder="1" applyAlignment="1">
      <alignment horizontal="center"/>
    </xf>
    <xf numFmtId="14" fontId="0" fillId="6" borderId="2" xfId="0" applyNumberFormat="1" applyFill="1" applyBorder="1"/>
    <xf numFmtId="0" fontId="0" fillId="6" borderId="2" xfId="0" applyFill="1" applyBorder="1"/>
    <xf numFmtId="41" fontId="0" fillId="6" borderId="2" xfId="1" applyFont="1" applyFill="1" applyBorder="1"/>
    <xf numFmtId="41" fontId="5" fillId="0" borderId="0" xfId="0" applyNumberFormat="1" applyFont="1"/>
    <xf numFmtId="0" fontId="0" fillId="0" borderId="0" xfId="0" applyAlignment="1">
      <alignment wrapText="1"/>
    </xf>
    <xf numFmtId="17" fontId="0" fillId="0" borderId="2" xfId="0" applyNumberFormat="1" applyBorder="1"/>
    <xf numFmtId="14" fontId="0" fillId="0" borderId="2" xfId="0" applyNumberFormat="1" applyBorder="1"/>
    <xf numFmtId="41" fontId="7" fillId="0" borderId="2" xfId="1" applyFont="1" applyBorder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/>
    <xf numFmtId="0" fontId="8" fillId="5" borderId="2" xfId="0" applyFont="1" applyFill="1" applyBorder="1" applyAlignment="1">
      <alignment horizontal="center" vertical="center" wrapText="1"/>
    </xf>
    <xf numFmtId="17" fontId="9" fillId="0" borderId="0" xfId="0" applyNumberFormat="1" applyFont="1"/>
    <xf numFmtId="14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right"/>
    </xf>
    <xf numFmtId="41" fontId="9" fillId="0" borderId="0" xfId="1" applyFont="1"/>
    <xf numFmtId="41" fontId="10" fillId="0" borderId="0" xfId="1" applyFont="1" applyAlignment="1">
      <alignment horizontal="center"/>
    </xf>
    <xf numFmtId="3" fontId="9" fillId="0" borderId="0" xfId="0" applyNumberFormat="1" applyFont="1"/>
    <xf numFmtId="41" fontId="9" fillId="0" borderId="0" xfId="0" applyNumberFormat="1" applyFont="1"/>
    <xf numFmtId="3" fontId="12" fillId="3" borderId="0" xfId="0" applyNumberFormat="1" applyFont="1" applyFill="1" applyBorder="1" applyAlignment="1">
      <alignment horizontal="center"/>
    </xf>
    <xf numFmtId="3" fontId="12" fillId="3" borderId="0" xfId="0" quotePrefix="1" applyNumberFormat="1" applyFont="1" applyFill="1" applyBorder="1" applyAlignment="1">
      <alignment horizontal="center"/>
    </xf>
    <xf numFmtId="0" fontId="11" fillId="0" borderId="0" xfId="0" applyFont="1"/>
    <xf numFmtId="41" fontId="9" fillId="3" borderId="0" xfId="1" applyFont="1" applyFill="1"/>
    <xf numFmtId="3" fontId="9" fillId="3" borderId="0" xfId="0" applyNumberFormat="1" applyFont="1" applyFill="1"/>
    <xf numFmtId="41" fontId="12" fillId="0" borderId="0" xfId="1" applyFont="1" applyBorder="1" applyAlignment="1">
      <alignment horizontal="center"/>
    </xf>
    <xf numFmtId="3" fontId="12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41" fontId="7" fillId="0" borderId="0" xfId="1" applyFont="1" applyBorder="1" applyAlignment="1">
      <alignment horizontal="center"/>
    </xf>
    <xf numFmtId="41" fontId="7" fillId="3" borderId="0" xfId="1" applyFont="1" applyFill="1" applyBorder="1" applyAlignment="1">
      <alignment horizontal="center"/>
    </xf>
    <xf numFmtId="17" fontId="7" fillId="3" borderId="0" xfId="1" quotePrefix="1" applyNumberFormat="1" applyFont="1" applyFill="1" applyBorder="1" applyAlignment="1">
      <alignment horizontal="center"/>
    </xf>
    <xf numFmtId="41" fontId="7" fillId="3" borderId="0" xfId="1" quotePrefix="1" applyFont="1" applyFill="1" applyBorder="1" applyAlignment="1">
      <alignment horizontal="center"/>
    </xf>
    <xf numFmtId="0" fontId="9" fillId="3" borderId="0" xfId="0" applyFont="1" applyFill="1"/>
    <xf numFmtId="0" fontId="0" fillId="0" borderId="0" xfId="0" pivotButton="1"/>
    <xf numFmtId="0" fontId="0" fillId="0" borderId="0" xfId="0" applyAlignment="1">
      <alignment horizontal="left" indent="1"/>
    </xf>
    <xf numFmtId="41" fontId="0" fillId="3" borderId="0" xfId="0" applyNumberFormat="1" applyFill="1"/>
    <xf numFmtId="3" fontId="0" fillId="0" borderId="0" xfId="0" applyNumberFormat="1"/>
  </cellXfs>
  <cellStyles count="2">
    <cellStyle name="Comma [0]" xfId="1" builtinId="6"/>
    <cellStyle name="Normal" xfId="0" builtinId="0"/>
  </cellStyles>
  <dxfs count="11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33" formatCode="_ * #,##0_ ;_ * \-#,##0_ ;_ * &quot;-&quot;_ ;_ @_ "/>
    </dxf>
    <dxf>
      <alignment wrapText="1"/>
    </dxf>
    <dxf>
      <numFmt numFmtId="33" formatCode="_ * #,##0_ ;_ * \-#,##0_ ;_ * &quot;-&quot;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ASB/Dropbox/Unidad%20Dropbox%201/01.%20MY%20ACCOUNTING/06.%20MY%20CLIENT/Empresas%20Grupo%20Hiriart/Antecedentes%20y%20gastos%20Tregualemu%20SpA/Contabilidad%202021/3.-%20Libro%20de%20compras%20y%20ventas/Libro%20de%20compras%20periodo%202021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SB" refreshedDate="44595.990732986109" createdVersion="7" refreshedVersion="7" minRefreshableVersion="3" recordCount="54" xr:uid="{F75F4321-3BA0-4F30-A87E-BD45F594BB49}">
  <cacheSource type="worksheet">
    <worksheetSource ref="A2:N56" sheet="Resumen Anual" r:id="rId2"/>
  </cacheSource>
  <cacheFields count="15">
    <cacheField name="Periodo" numFmtId="17">
      <sharedItems containsSemiMixedTypes="0" containsNonDate="0" containsDate="1" containsString="0" minDate="2021-01-01T00:00:00" maxDate="2021-12-02T00:00:00" count="11">
        <d v="2021-01-01T00:00:00"/>
        <d v="2021-02-01T00:00:00"/>
        <d v="2021-03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</sharedItems>
      <fieldGroup par="14" base="0">
        <rangePr groupBy="days" startDate="2021-01-01T00:00:00" endDate="2021-12-02T00:00:00"/>
        <groupItems count="368">
          <s v="&lt;01-01-2021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02-12-2021"/>
        </groupItems>
      </fieldGroup>
    </cacheField>
    <cacheField name="Nro" numFmtId="0">
      <sharedItems containsSemiMixedTypes="0" containsString="0" containsNumber="1" containsInteger="1" minValue="1" maxValue="12"/>
    </cacheField>
    <cacheField name="Tipo Doc" numFmtId="0">
      <sharedItems containsSemiMixedTypes="0" containsString="0" containsNumber="1" containsInteger="1" minValue="33" maxValue="61"/>
    </cacheField>
    <cacheField name="Tipo Compra" numFmtId="0">
      <sharedItems/>
    </cacheField>
    <cacheField name="RUT Proveedor" numFmtId="0">
      <sharedItems/>
    </cacheField>
    <cacheField name="Razon Social" numFmtId="0">
      <sharedItems/>
    </cacheField>
    <cacheField name="Folio" numFmtId="0">
      <sharedItems containsSemiMixedTypes="0" containsString="0" containsNumber="1" containsInteger="1" minValue="3" maxValue="37439348"/>
    </cacheField>
    <cacheField name="Fecha Docto" numFmtId="14">
      <sharedItems containsSemiMixedTypes="0" containsNonDate="0" containsDate="1" containsString="0" minDate="2021-01-06T00:00:00" maxDate="2021-11-23T00:00:00"/>
    </cacheField>
    <cacheField name="Monto Exento" numFmtId="41">
      <sharedItems containsSemiMixedTypes="0" containsString="0" containsNumber="1" containsInteger="1" minValue="0" maxValue="1250000"/>
    </cacheField>
    <cacheField name="Monto Neto" numFmtId="41">
      <sharedItems containsSemiMixedTypes="0" containsString="0" containsNumber="1" containsInteger="1" minValue="0" maxValue="3925000"/>
    </cacheField>
    <cacheField name="Monto IVA Recuperable" numFmtId="41">
      <sharedItems containsSemiMixedTypes="0" containsString="0" containsNumber="1" containsInteger="1" minValue="0" maxValue="939"/>
    </cacheField>
    <cacheField name="Monto Iva No Recuperable" numFmtId="41">
      <sharedItems containsSemiMixedTypes="0" containsString="0" containsNumber="1" containsInteger="1" minValue="0" maxValue="745750"/>
    </cacheField>
    <cacheField name="Codigo IVA No Rec." numFmtId="41">
      <sharedItems containsSemiMixedTypes="0" containsString="0" containsNumber="1" containsInteger="1" minValue="0" maxValue="9"/>
    </cacheField>
    <cacheField name="Monto Total" numFmtId="41">
      <sharedItems containsSemiMixedTypes="0" containsString="0" containsNumber="1" containsInteger="1" minValue="4565" maxValue="4670750"/>
    </cacheField>
    <cacheField name="Months" numFmtId="0" databaseField="0">
      <fieldGroup base="0">
        <rangePr groupBy="months" startDate="2021-01-01T00:00:00" endDate="2021-12-02T00:00:00"/>
        <groupItems count="14">
          <s v="&lt;01-01-2021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02-12-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SB" refreshedDate="44666.964114699076" createdVersion="7" refreshedVersion="7" minRefreshableVersion="3" recordCount="46" xr:uid="{E4A32293-44E4-4D72-9B22-1C5833550F1F}">
  <cacheSource type="worksheet">
    <worksheetSource ref="D1:N47" sheet="Rend. Gastos Sin Cartola"/>
  </cacheSource>
  <cacheFields count="11">
    <cacheField name="Mes" numFmtId="0">
      <sharedItems count="8">
        <s v="Febrero"/>
        <s v="Abril"/>
        <s v="Mayo"/>
        <s v="Junio"/>
        <s v="Julio"/>
        <s v="Agosto"/>
        <s v="Septiembre"/>
        <s v="Octubre"/>
      </sharedItems>
    </cacheField>
    <cacheField name="Naturaleza de la operación" numFmtId="0">
      <sharedItems/>
    </cacheField>
    <cacheField name="Tipo de gasto" numFmtId="0">
      <sharedItems count="7">
        <s v="Gastos notariales"/>
        <s v="Combustible"/>
        <s v="Peajes"/>
        <s v="Estacionamiento"/>
        <s v="Colacion"/>
        <s v="Colaciones"/>
        <s v="Peaje"/>
      </sharedItems>
    </cacheField>
    <cacheField name="Rut proveedor" numFmtId="0">
      <sharedItems containsBlank="1"/>
    </cacheField>
    <cacheField name="Razon social proveedor" numFmtId="0">
      <sharedItems/>
    </cacheField>
    <cacheField name="Giro / actividad del proveedor" numFmtId="0">
      <sharedItems/>
    </cacheField>
    <cacheField name="N° Boleta y/o factura" numFmtId="0">
      <sharedItems containsMixedTypes="1" containsNumber="1" containsInteger="1" minValue="4907" maxValue="309213412"/>
    </cacheField>
    <cacheField name="Forma de pago" numFmtId="0">
      <sharedItems/>
    </cacheField>
    <cacheField name="Monto" numFmtId="41">
      <sharedItems containsSemiMixedTypes="0" containsString="0" containsNumber="1" containsInteger="1" minValue="345" maxValue="190000"/>
    </cacheField>
    <cacheField name="Dcto. Respaldo" numFmtId="0">
      <sharedItems/>
    </cacheField>
    <cacheField name="Forma de pago2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n v="1"/>
    <n v="33"/>
    <s v="IVA no Recuperable"/>
    <s v="76085246-5"/>
    <s v="INVERSIONES LA VUELTA LIMITADA"/>
    <n v="20"/>
    <d v="2021-01-22T00:00:00"/>
    <n v="0"/>
    <n v="33614"/>
    <n v="0"/>
    <n v="6387"/>
    <n v="9"/>
    <n v="40001"/>
  </r>
  <r>
    <x v="0"/>
    <n v="2"/>
    <n v="33"/>
    <s v="IVA no Recuperable"/>
    <s v="76085246-5"/>
    <s v="INVERSIONES LA VUELTA LIMITADA"/>
    <n v="21"/>
    <d v="2021-01-22T00:00:00"/>
    <n v="0"/>
    <n v="33614"/>
    <n v="0"/>
    <n v="6387"/>
    <n v="9"/>
    <n v="40001"/>
  </r>
  <r>
    <x v="0"/>
    <n v="3"/>
    <n v="34"/>
    <s v="Del Giro"/>
    <s v="76608469-9"/>
    <s v="V  V ASESORES INTEGRALES SPA"/>
    <n v="386"/>
    <d v="2021-01-06T00:00:00"/>
    <n v="29070"/>
    <n v="0"/>
    <n v="0"/>
    <n v="0"/>
    <n v="0"/>
    <n v="29070"/>
  </r>
  <r>
    <x v="1"/>
    <n v="1"/>
    <n v="33"/>
    <s v="Del Giro"/>
    <s v="78286370-3"/>
    <s v="TEK-KROM ACCION GRAFICA COMPANIA LIMITADA"/>
    <n v="65476"/>
    <d v="2021-02-08T00:00:00"/>
    <n v="0"/>
    <n v="4941"/>
    <n v="939"/>
    <n v="0"/>
    <n v="0"/>
    <n v="5880"/>
  </r>
  <r>
    <x v="1"/>
    <n v="2"/>
    <n v="33"/>
    <s v="Del Giro"/>
    <s v="78286370-3"/>
    <s v="TEK-KROM ACCION GRAFICA COMPANIA LIMITADA"/>
    <n v="65607"/>
    <d v="2021-02-19T00:00:00"/>
    <n v="0"/>
    <n v="4296"/>
    <n v="816"/>
    <n v="0"/>
    <n v="0"/>
    <n v="5112"/>
  </r>
  <r>
    <x v="1"/>
    <n v="3"/>
    <n v="34"/>
    <s v="Del Giro"/>
    <s v="76608469-9"/>
    <s v="V  V ASESORES INTEGRALES SPA"/>
    <n v="400"/>
    <d v="2021-02-12T00:00:00"/>
    <n v="29149"/>
    <n v="0"/>
    <n v="0"/>
    <n v="0"/>
    <n v="0"/>
    <n v="29149"/>
  </r>
  <r>
    <x v="2"/>
    <n v="1"/>
    <n v="34"/>
    <s v="Del Giro"/>
    <s v="76608469-9"/>
    <s v="V  V ASESORES INTEGRALES SPA"/>
    <n v="408"/>
    <d v="2021-03-07T00:00:00"/>
    <n v="29287"/>
    <n v="0"/>
    <n v="0"/>
    <n v="0"/>
    <n v="0"/>
    <n v="29287"/>
  </r>
  <r>
    <x v="2"/>
    <n v="2"/>
    <n v="34"/>
    <s v="Del Giro"/>
    <s v="76047546-7"/>
    <s v="LA NUBE FOTOGRAFIA LIMITADA"/>
    <n v="1261"/>
    <d v="2021-03-18T00:00:00"/>
    <n v="1250000"/>
    <n v="0"/>
    <n v="0"/>
    <n v="0"/>
    <n v="0"/>
    <n v="1250000"/>
  </r>
  <r>
    <x v="3"/>
    <n v="1"/>
    <n v="33"/>
    <s v="IVA no Recuperable"/>
    <s v="76556843-9"/>
    <s v="LA CASONA SPA"/>
    <n v="137"/>
    <d v="2021-05-12T00:00:00"/>
    <n v="0"/>
    <n v="138445"/>
    <n v="0"/>
    <n v="26305"/>
    <n v="9"/>
    <n v="164750"/>
  </r>
  <r>
    <x v="3"/>
    <n v="2"/>
    <n v="34"/>
    <s v="Del Giro"/>
    <s v="76608469-9"/>
    <s v="V  V ASESORES INTEGRALES SPA"/>
    <n v="423"/>
    <d v="2021-05-02T00:00:00"/>
    <n v="88506"/>
    <n v="0"/>
    <n v="0"/>
    <n v="0"/>
    <n v="0"/>
    <n v="88506"/>
  </r>
  <r>
    <x v="4"/>
    <n v="1"/>
    <n v="33"/>
    <s v="IVA no Recuperable"/>
    <s v="79546430-1"/>
    <s v="SOCIEDAD COMERCIALIZADORA Y DE SERVICIOS MACAL LIMITADA"/>
    <n v="112739"/>
    <d v="2021-06-25T00:00:00"/>
    <n v="0"/>
    <n v="460000"/>
    <n v="0"/>
    <n v="87400"/>
    <n v="9"/>
    <n v="547400"/>
  </r>
  <r>
    <x v="4"/>
    <n v="2"/>
    <n v="33"/>
    <s v="IVA no Recuperable"/>
    <s v="79546430-1"/>
    <s v="SOCIEDAD COMERCIALIZADORA Y DE SERVICIOS MACAL LIMITADA"/>
    <n v="112737"/>
    <d v="2021-06-25T00:00:00"/>
    <n v="0"/>
    <n v="100000"/>
    <n v="0"/>
    <n v="19000"/>
    <n v="9"/>
    <n v="119000"/>
  </r>
  <r>
    <x v="4"/>
    <n v="3"/>
    <n v="33"/>
    <s v="IVA no Recuperable"/>
    <s v="79546430-1"/>
    <s v="SOCIEDAD COMERCIALIZADORA Y DE SERVICIOS MACAL LIMITADA"/>
    <n v="112738"/>
    <d v="2021-06-25T00:00:00"/>
    <n v="0"/>
    <n v="350000"/>
    <n v="0"/>
    <n v="66500"/>
    <n v="9"/>
    <n v="416500"/>
  </r>
  <r>
    <x v="4"/>
    <n v="4"/>
    <n v="33"/>
    <s v="IVA no Recuperable"/>
    <s v="78286370-3"/>
    <s v="TEK-KROM ACCION GRAFICA COMPANIA LIMITADA"/>
    <n v="67069"/>
    <d v="2021-06-02T00:00:00"/>
    <n v="0"/>
    <n v="12865"/>
    <n v="0"/>
    <n v="2444"/>
    <n v="9"/>
    <n v="15309"/>
  </r>
  <r>
    <x v="4"/>
    <n v="5"/>
    <n v="33"/>
    <s v="IVA no Recuperable"/>
    <s v="78286370-3"/>
    <s v="TEK-KROM ACCION GRAFICA COMPANIA LIMITADA"/>
    <n v="67085"/>
    <d v="2021-06-03T00:00:00"/>
    <n v="0"/>
    <n v="10624"/>
    <n v="0"/>
    <n v="2018"/>
    <n v="9"/>
    <n v="12642"/>
  </r>
  <r>
    <x v="4"/>
    <n v="6"/>
    <n v="34"/>
    <s v="Del Giro"/>
    <s v="89862200-2"/>
    <s v="LATAM AIRLINES GROUP S.A."/>
    <n v="4793268"/>
    <d v="2021-06-27T00:00:00"/>
    <n v="145612"/>
    <n v="0"/>
    <n v="0"/>
    <n v="0"/>
    <n v="0"/>
    <n v="145612"/>
  </r>
  <r>
    <x v="4"/>
    <n v="7"/>
    <n v="34"/>
    <s v="Del Giro"/>
    <s v="89862200-2"/>
    <s v="LATAM AIRLINES GROUP S.A."/>
    <n v="4793270"/>
    <d v="2021-06-27T00:00:00"/>
    <n v="62806"/>
    <n v="0"/>
    <n v="0"/>
    <n v="0"/>
    <n v="0"/>
    <n v="62806"/>
  </r>
  <r>
    <x v="5"/>
    <n v="1"/>
    <n v="33"/>
    <s v="IVA no Recuperable"/>
    <s v="97036000-K"/>
    <s v="Santander - Chile"/>
    <n v="37162294"/>
    <d v="2021-07-28T00:00:00"/>
    <n v="0"/>
    <n v="5742"/>
    <n v="0"/>
    <n v="1091"/>
    <n v="9"/>
    <n v="6833"/>
  </r>
  <r>
    <x v="5"/>
    <n v="2"/>
    <n v="33"/>
    <s v="IVA no Recuperable"/>
    <s v="76444735-2"/>
    <s v="SOC INMOB Y HOTELERA PARADA LTDA"/>
    <n v="14580"/>
    <d v="2021-07-16T00:00:00"/>
    <n v="0"/>
    <n v="188303"/>
    <n v="0"/>
    <n v="35778"/>
    <n v="9"/>
    <n v="224081"/>
  </r>
  <r>
    <x v="5"/>
    <n v="3"/>
    <n v="33"/>
    <s v="IVA no Recuperable"/>
    <s v="79546430-1"/>
    <s v="SOCIEDAD COMERCIALIZADORA Y DE SERVICIOS MACAL LIMITADA"/>
    <n v="113182"/>
    <d v="2021-07-15T00:00:00"/>
    <n v="0"/>
    <n v="200000"/>
    <n v="0"/>
    <n v="38000"/>
    <n v="9"/>
    <n v="238000"/>
  </r>
  <r>
    <x v="5"/>
    <n v="4"/>
    <n v="33"/>
    <s v="IVA no Recuperable"/>
    <s v="79546430-1"/>
    <s v="SOCIEDAD COMERCIALIZADORA Y DE SERVICIOS MACAL LIMITADA"/>
    <n v="113184"/>
    <d v="2021-07-15T00:00:00"/>
    <n v="0"/>
    <n v="752000"/>
    <n v="0"/>
    <n v="142880"/>
    <n v="9"/>
    <n v="894880"/>
  </r>
  <r>
    <x v="5"/>
    <n v="5"/>
    <n v="33"/>
    <s v="IVA no Recuperable"/>
    <s v="79546430-1"/>
    <s v="SOCIEDAD COMERCIALIZADORA Y DE SERVICIOS MACAL LIMITADA"/>
    <n v="113183"/>
    <d v="2021-07-15T00:00:00"/>
    <n v="0"/>
    <n v="280000"/>
    <n v="0"/>
    <n v="53200"/>
    <n v="9"/>
    <n v="333200"/>
  </r>
  <r>
    <x v="5"/>
    <n v="6"/>
    <n v="33"/>
    <s v="IVA no Recuperable"/>
    <s v="79857120-6"/>
    <s v="INMOBILIARIA E INVERSIONES GREENE SPA"/>
    <n v="644"/>
    <d v="2021-07-09T00:00:00"/>
    <n v="0"/>
    <n v="218000"/>
    <n v="0"/>
    <n v="41420"/>
    <n v="9"/>
    <n v="259420"/>
  </r>
  <r>
    <x v="5"/>
    <n v="7"/>
    <n v="33"/>
    <s v="IVA no Recuperable"/>
    <s v="79857120-6"/>
    <s v="INMOBILIARIA E INVERSIONES GREENE SPA"/>
    <n v="643"/>
    <d v="2021-07-09T00:00:00"/>
    <n v="0"/>
    <n v="258000"/>
    <n v="0"/>
    <n v="49020"/>
    <n v="9"/>
    <n v="307020"/>
  </r>
  <r>
    <x v="5"/>
    <n v="8"/>
    <n v="33"/>
    <s v="IVA no Recuperable"/>
    <s v="79546430-1"/>
    <s v="SOCIEDAD COMERCIALIZADORA Y DE SERVICIOS MACAL LIMITADA"/>
    <n v="112987"/>
    <d v="2021-07-07T00:00:00"/>
    <n v="0"/>
    <n v="200000"/>
    <n v="0"/>
    <n v="38000"/>
    <n v="9"/>
    <n v="238000"/>
  </r>
  <r>
    <x v="5"/>
    <n v="9"/>
    <n v="33"/>
    <s v="IVA no Recuperable"/>
    <s v="79546430-1"/>
    <s v="SOCIEDAD COMERCIALIZADORA Y DE SERVICIOS MACAL LIMITADA"/>
    <n v="112988"/>
    <d v="2021-07-07T00:00:00"/>
    <n v="0"/>
    <n v="592000"/>
    <n v="0"/>
    <n v="112480"/>
    <n v="9"/>
    <n v="704480"/>
  </r>
  <r>
    <x v="5"/>
    <n v="10"/>
    <n v="33"/>
    <s v="IVA no Recuperable"/>
    <s v="83547100-4"/>
    <s v="AUTORENTAS DEL PACIFICO SpA"/>
    <n v="956013"/>
    <d v="2021-07-05T00:00:00"/>
    <n v="0"/>
    <n v="321744"/>
    <n v="0"/>
    <n v="61131"/>
    <n v="9"/>
    <n v="382875"/>
  </r>
  <r>
    <x v="5"/>
    <n v="11"/>
    <n v="33"/>
    <s v="IVA no Recuperable"/>
    <s v="79857120-6"/>
    <s v="INMOBILIARIA E INVERSIONES GREENE SPA"/>
    <n v="642"/>
    <d v="2021-07-01T00:00:00"/>
    <n v="0"/>
    <n v="258000"/>
    <n v="0"/>
    <n v="49020"/>
    <n v="9"/>
    <n v="307020"/>
  </r>
  <r>
    <x v="5"/>
    <n v="12"/>
    <n v="61"/>
    <s v="IVA no Recuperable"/>
    <s v="79857120-6"/>
    <s v="INMOBILIARIA E INVERSIONES GREENE SPA"/>
    <n v="24"/>
    <d v="2021-07-09T00:00:00"/>
    <n v="0"/>
    <n v="258000"/>
    <n v="0"/>
    <n v="49020"/>
    <n v="9"/>
    <n v="307020"/>
  </r>
  <r>
    <x v="6"/>
    <n v="1"/>
    <n v="33"/>
    <s v="IVA no Recuperable"/>
    <s v="79546430-1"/>
    <s v="SOCIEDAD COMERCIALIZADORA Y DE SERVICIOS MACAL LIMITADA"/>
    <n v="114876"/>
    <d v="2021-08-31T00:00:00"/>
    <n v="0"/>
    <n v="1000000"/>
    <n v="0"/>
    <n v="190000"/>
    <n v="9"/>
    <n v="1190000"/>
  </r>
  <r>
    <x v="6"/>
    <n v="2"/>
    <n v="33"/>
    <s v="IVA no Recuperable"/>
    <s v="77312818-9"/>
    <s v="COSTA Ã‘UBLE GESTIÃ“N INMOBILIARIA Y HOSPEDAJES SPA"/>
    <n v="16"/>
    <d v="2021-08-31T00:00:00"/>
    <n v="0"/>
    <n v="1590000"/>
    <n v="0"/>
    <n v="302100"/>
    <n v="9"/>
    <n v="1892100"/>
  </r>
  <r>
    <x v="6"/>
    <n v="3"/>
    <n v="33"/>
    <s v="IVA no Recuperable"/>
    <s v="79546430-1"/>
    <s v="SOCIEDAD COMERCIALIZADORA Y DE SERVICIOS MACAL LIMITADA"/>
    <n v="114883"/>
    <d v="2021-08-31T00:00:00"/>
    <n v="0"/>
    <n v="724000"/>
    <n v="0"/>
    <n v="137560"/>
    <n v="9"/>
    <n v="861560"/>
  </r>
  <r>
    <x v="6"/>
    <n v="4"/>
    <n v="33"/>
    <s v="IVA no Recuperable"/>
    <s v="79546430-1"/>
    <s v="SOCIEDAD COMERCIALIZADORA Y DE SERVICIOS MACAL LIMITADA"/>
    <n v="114872"/>
    <d v="2021-08-31T00:00:00"/>
    <n v="0"/>
    <n v="200000"/>
    <n v="0"/>
    <n v="38000"/>
    <n v="9"/>
    <n v="238000"/>
  </r>
  <r>
    <x v="6"/>
    <n v="5"/>
    <n v="33"/>
    <s v="IVA no Recuperable"/>
    <s v="79546430-1"/>
    <s v="SOCIEDAD COMERCIALIZADORA Y DE SERVICIOS MACAL LIMITADA"/>
    <n v="114873"/>
    <d v="2021-08-31T00:00:00"/>
    <n v="0"/>
    <n v="900000"/>
    <n v="0"/>
    <n v="171000"/>
    <n v="9"/>
    <n v="1071000"/>
  </r>
  <r>
    <x v="6"/>
    <n v="6"/>
    <n v="33"/>
    <s v="IVA no Recuperable"/>
    <s v="79546430-1"/>
    <s v="SOCIEDAD COMERCIALIZADORA Y DE SERVICIOS MACAL LIMITADA"/>
    <n v="114882"/>
    <d v="2021-08-31T00:00:00"/>
    <n v="0"/>
    <n v="210000"/>
    <n v="0"/>
    <n v="39900"/>
    <n v="9"/>
    <n v="249900"/>
  </r>
  <r>
    <x v="6"/>
    <n v="7"/>
    <n v="33"/>
    <s v="IVA no Recuperable"/>
    <s v="79546430-1"/>
    <s v="SOCIEDAD COMERCIALIZADORA Y DE SERVICIOS MACAL LIMITADA"/>
    <n v="114881"/>
    <d v="2021-08-31T00:00:00"/>
    <n v="0"/>
    <n v="200000"/>
    <n v="0"/>
    <n v="38000"/>
    <n v="9"/>
    <n v="238000"/>
  </r>
  <r>
    <x v="6"/>
    <n v="8"/>
    <n v="33"/>
    <s v="IVA no Recuperable"/>
    <s v="97036000-K"/>
    <s v="Santander - Chile"/>
    <n v="37439348"/>
    <d v="2021-08-27T00:00:00"/>
    <n v="0"/>
    <n v="3835"/>
    <n v="0"/>
    <n v="730"/>
    <n v="9"/>
    <n v="4565"/>
  </r>
  <r>
    <x v="6"/>
    <n v="9"/>
    <n v="33"/>
    <s v="IVA no Recuperable"/>
    <s v="79857120-6"/>
    <s v="INMOBILIARIA E INVERSIONES GREENE SPA"/>
    <n v="658"/>
    <d v="2021-08-17T00:00:00"/>
    <n v="0"/>
    <n v="218000"/>
    <n v="0"/>
    <n v="41420"/>
    <n v="9"/>
    <n v="259420"/>
  </r>
  <r>
    <x v="7"/>
    <n v="1"/>
    <n v="33"/>
    <s v="IVA no Recuperable"/>
    <s v="77312818-9"/>
    <s v="COSTA Ã‘UBLE GESTIÃ“N INMOBILIARIA Y HOSPEDAJES SPA"/>
    <n v="17"/>
    <d v="2021-09-30T00:00:00"/>
    <n v="0"/>
    <n v="745000"/>
    <n v="0"/>
    <n v="141550"/>
    <n v="9"/>
    <n v="886550"/>
  </r>
  <r>
    <x v="7"/>
    <n v="2"/>
    <n v="33"/>
    <s v="IVA no Recuperable"/>
    <s v="79546430-1"/>
    <s v="SOCIEDAD COMERCIALIZADORA Y DE SERVICIOS MACAL LIMITADA"/>
    <n v="115302"/>
    <d v="2021-09-20T00:00:00"/>
    <n v="0"/>
    <n v="920000"/>
    <n v="0"/>
    <n v="174800"/>
    <n v="9"/>
    <n v="1094800"/>
  </r>
  <r>
    <x v="7"/>
    <n v="3"/>
    <n v="33"/>
    <s v="IVA no Recuperable"/>
    <s v="79546430-1"/>
    <s v="SOCIEDAD COMERCIALIZADORA Y DE SERVICIOS MACAL LIMITADA"/>
    <n v="115300"/>
    <d v="2021-09-20T00:00:00"/>
    <n v="0"/>
    <n v="200000"/>
    <n v="0"/>
    <n v="38000"/>
    <n v="9"/>
    <n v="238000"/>
  </r>
  <r>
    <x v="7"/>
    <n v="4"/>
    <n v="33"/>
    <s v="IVA no Recuperable"/>
    <s v="79546430-1"/>
    <s v="SOCIEDAD COMERCIALIZADORA Y DE SERVICIOS MACAL LIMITADA"/>
    <n v="115301"/>
    <d v="2021-09-20T00:00:00"/>
    <n v="0"/>
    <n v="700000"/>
    <n v="0"/>
    <n v="133000"/>
    <n v="9"/>
    <n v="833000"/>
  </r>
  <r>
    <x v="7"/>
    <n v="5"/>
    <n v="33"/>
    <s v="IVA no Recuperable"/>
    <s v="79857120-6"/>
    <s v="INMOBILIARIA E INVERSIONES GREENE SPA"/>
    <n v="671"/>
    <d v="2021-09-14T00:00:00"/>
    <n v="0"/>
    <n v="480000"/>
    <n v="0"/>
    <n v="91200"/>
    <n v="9"/>
    <n v="571200"/>
  </r>
  <r>
    <x v="7"/>
    <n v="6"/>
    <n v="33"/>
    <s v="IVA no Recuperable"/>
    <s v="79857120-6"/>
    <s v="INMOBILIARIA E INVERSIONES GREENE SPA"/>
    <n v="668"/>
    <d v="2021-09-02T00:00:00"/>
    <n v="0"/>
    <n v="932000"/>
    <n v="0"/>
    <n v="177080"/>
    <n v="9"/>
    <n v="1109080"/>
  </r>
  <r>
    <x v="7"/>
    <n v="7"/>
    <n v="33"/>
    <s v="IVA no Recuperable"/>
    <s v="78286370-3"/>
    <s v="TEK-KROM ACCION GRAFICA COMPANIA LIMITADA"/>
    <n v="68672"/>
    <d v="2021-09-07T00:00:00"/>
    <n v="0"/>
    <n v="5794"/>
    <n v="0"/>
    <n v="1101"/>
    <n v="9"/>
    <n v="6895"/>
  </r>
  <r>
    <x v="7"/>
    <n v="8"/>
    <n v="33"/>
    <s v="IVA no Recuperable"/>
    <s v="76085246-5"/>
    <s v="INVERSIONES LA VUELTA LIMITADA"/>
    <n v="32"/>
    <d v="2021-09-13T00:00:00"/>
    <n v="0"/>
    <n v="164708"/>
    <n v="0"/>
    <n v="31295"/>
    <n v="9"/>
    <n v="196003"/>
  </r>
  <r>
    <x v="8"/>
    <n v="1"/>
    <n v="33"/>
    <s v="IVA no Recuperable"/>
    <s v="79857120-6"/>
    <s v="INMOBILIARIA E INVERSIONES GREENE SPA"/>
    <n v="677"/>
    <d v="2021-10-18T00:00:00"/>
    <n v="0"/>
    <n v="258000"/>
    <n v="0"/>
    <n v="49020"/>
    <n v="9"/>
    <n v="307020"/>
  </r>
  <r>
    <x v="8"/>
    <n v="2"/>
    <n v="33"/>
    <s v="IVA no Recuperable"/>
    <s v="76085246-5"/>
    <s v="INVERSIONES LA VUELTA LIMITADA"/>
    <n v="34"/>
    <d v="2021-10-12T00:00:00"/>
    <n v="0"/>
    <n v="97480"/>
    <n v="0"/>
    <n v="18521"/>
    <n v="9"/>
    <n v="116001"/>
  </r>
  <r>
    <x v="8"/>
    <n v="3"/>
    <n v="33"/>
    <s v="IVA no Recuperable"/>
    <s v="79546430-1"/>
    <s v="SOCIEDAD COMERCIALIZADORA Y DE SERVICIOS MACAL LIMITADA"/>
    <n v="115880"/>
    <d v="2021-10-13T00:00:00"/>
    <n v="0"/>
    <n v="100000"/>
    <n v="0"/>
    <n v="19000"/>
    <n v="9"/>
    <n v="119000"/>
  </r>
  <r>
    <x v="8"/>
    <n v="4"/>
    <n v="33"/>
    <s v="IVA no Recuperable"/>
    <s v="79546430-1"/>
    <s v="SOCIEDAD COMERCIALIZADORA Y DE SERVICIOS MACAL LIMITADA"/>
    <n v="115881"/>
    <d v="2021-10-13T00:00:00"/>
    <n v="0"/>
    <n v="550000"/>
    <n v="0"/>
    <n v="104500"/>
    <n v="9"/>
    <n v="654500"/>
  </r>
  <r>
    <x v="8"/>
    <n v="5"/>
    <n v="33"/>
    <s v="IVA no Recuperable"/>
    <s v="79546430-1"/>
    <s v="SOCIEDAD COMERCIALIZADORA Y DE SERVICIOS MACAL LIMITADA"/>
    <n v="115882"/>
    <d v="2021-10-13T00:00:00"/>
    <n v="0"/>
    <n v="540000"/>
    <n v="0"/>
    <n v="102600"/>
    <n v="9"/>
    <n v="642600"/>
  </r>
  <r>
    <x v="8"/>
    <n v="6"/>
    <n v="34"/>
    <s v="Del Giro"/>
    <s v="77421439-9"/>
    <s v="ALERCE CONSULTORES SPA"/>
    <n v="3"/>
    <d v="2021-10-12T00:00:00"/>
    <n v="372760"/>
    <n v="0"/>
    <n v="0"/>
    <n v="0"/>
    <n v="0"/>
    <n v="372760"/>
  </r>
  <r>
    <x v="9"/>
    <n v="1"/>
    <n v="33"/>
    <s v="IVA no Recuperable"/>
    <s v="77312818-9"/>
    <s v="COSTA Ã‘UBLE GESTIÃ“N INMOBILIARIA Y HOSPEDAJES SPA"/>
    <n v="18"/>
    <d v="2021-11-17T00:00:00"/>
    <n v="0"/>
    <n v="3925000"/>
    <n v="0"/>
    <n v="745750"/>
    <n v="9"/>
    <n v="4670750"/>
  </r>
  <r>
    <x v="10"/>
    <n v="1"/>
    <n v="33"/>
    <s v="IVA no Recuperable"/>
    <s v="79857120-6"/>
    <s v="INMOBILIARIA E INVERSIONES GREENE SPA"/>
    <n v="688"/>
    <d v="2021-11-22T00:00:00"/>
    <n v="0"/>
    <n v="218000"/>
    <n v="0"/>
    <n v="41420"/>
    <n v="9"/>
    <n v="25942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s v="Otros"/>
    <x v="0"/>
    <s v="6904806-4"/>
    <s v="Eduardo Enrique Tavolari"/>
    <s v="Servicio Notarial"/>
    <n v="1182558"/>
    <s v="1.- Contado"/>
    <n v="85000"/>
    <s v="Boleta de honorarios"/>
    <s v="Sin cartola"/>
  </r>
  <r>
    <x v="0"/>
    <s v="Combustible"/>
    <x v="1"/>
    <m/>
    <s v="Shell Eliodoro Yanez"/>
    <s v="Venta de combustible"/>
    <s v="S/N"/>
    <s v="1.- Contado"/>
    <n v="34500"/>
    <s v="Comprobante de pago"/>
    <s v="Sin cartola"/>
  </r>
  <r>
    <x v="1"/>
    <s v="Modificaciones de servidumbre"/>
    <x v="0"/>
    <s v="10.755.410-6"/>
    <s v="Andres Felipe Rieutord Alvarado"/>
    <s v="Notario publico"/>
    <n v="214934"/>
    <s v="1.- Contado"/>
    <n v="40000"/>
    <s v="Boleta de honorarios"/>
    <s v="Sin cartola"/>
  </r>
  <r>
    <x v="1"/>
    <s v="Compraventa"/>
    <x v="0"/>
    <s v="10.755.410-6"/>
    <s v="Andres Felipe Rieutord Alvarado"/>
    <s v="Notario publico"/>
    <n v="215958"/>
    <s v="1.- Contado"/>
    <n v="90000"/>
    <s v="Boleta de honorarios"/>
    <s v="Sin cartola"/>
  </r>
  <r>
    <x v="1"/>
    <s v="Instrucciones"/>
    <x v="0"/>
    <s v="10.755.410-6"/>
    <s v="Andres Felipe Rieutord Alvarado"/>
    <s v="Notario publico"/>
    <n v="215959"/>
    <s v="1.- Contado"/>
    <n v="40000"/>
    <s v="Boleta de honorarios"/>
    <s v="Sin cartola"/>
  </r>
  <r>
    <x v="2"/>
    <s v="Peaje. Viaje semana 13 de Mayo 2021"/>
    <x v="2"/>
    <s v="77337752-9"/>
    <s v="Soc. Conc. Ruta 5 Talca Chillan S.A."/>
    <s v="Construccion de carreteras y lineas de ferrocarril"/>
    <s v="S/N"/>
    <s v="1.- Contado"/>
    <n v="600"/>
    <s v="Comprobante de pago"/>
    <s v="Sin cartola"/>
  </r>
  <r>
    <x v="2"/>
    <s v="Peaje. Viaje semana 13 de Mayo 2021"/>
    <x v="2"/>
    <s v="96848050-2"/>
    <s v="Ruta de los Rios S.A."/>
    <s v="Construccion de carreteras y lineas de ferrocarril"/>
    <s v="S/N"/>
    <s v="1.- Contado"/>
    <n v="2800"/>
    <s v="Comprobante de pago"/>
    <s v="Sin cartola"/>
  </r>
  <r>
    <x v="2"/>
    <s v="Peaje. Viaje semana 13 de Mayo 2021"/>
    <x v="2"/>
    <s v="96859650-5"/>
    <s v="Ruta de la Araucania S.A."/>
    <s v="Construccion de carreteras y lineas de ferrocarril"/>
    <s v="S/N"/>
    <s v="1.- Contado"/>
    <n v="2700"/>
    <s v="Comprobante de pago"/>
    <s v="Sin cartola"/>
  </r>
  <r>
    <x v="2"/>
    <s v="Estacionamiento. Viaje semana 13 de Mayo 2021"/>
    <x v="3"/>
    <s v="76643823-7"/>
    <s v="Serviest SpA"/>
    <s v="Estacionamientos"/>
    <n v="84844"/>
    <s v="1.- Contado"/>
    <n v="345"/>
    <s v="Boleta"/>
    <s v="Sin cartola"/>
  </r>
  <r>
    <x v="2"/>
    <s v="Alimentación"/>
    <x v="4"/>
    <m/>
    <s v="Soc. Com. Alimentos Suprema Ltda"/>
    <s v="Restaurant"/>
    <s v="S/N"/>
    <s v="1.- Contado"/>
    <n v="4500"/>
    <s v="Comprobante de pago"/>
    <s v="Sin cartola"/>
  </r>
  <r>
    <x v="2"/>
    <s v="Peaje. Viaje semana 13 de Mayo 2021"/>
    <x v="2"/>
    <s v="96854510-8"/>
    <s v="Soc. C. de Los Lagos S.A."/>
    <s v="Construccion de carreteras y lineas de ferrocarril"/>
    <s v="S/N"/>
    <s v="1.- Contado"/>
    <n v="700"/>
    <s v="Comprobante de pago"/>
    <s v="Sin cartola"/>
  </r>
  <r>
    <x v="2"/>
    <s v="Peaje. Viaje semana 13 de Mayo 2021"/>
    <x v="2"/>
    <s v="96848050-2"/>
    <s v="Ruta de los Rios S.A."/>
    <s v="Construccion de carreteras y lineas de ferrocarril"/>
    <s v="S/N"/>
    <s v="1.- Contado"/>
    <n v="2800"/>
    <s v="Comprobante de pago"/>
    <s v="Sin cartola"/>
  </r>
  <r>
    <x v="2"/>
    <s v="Peaje. Viaje semana 13 de Mayo 2021"/>
    <x v="2"/>
    <s v="96854510-8"/>
    <s v="Soc. C. de Los Lagos S.A."/>
    <s v="Construccion de carreteras y lineas de ferrocarril"/>
    <s v="S/N"/>
    <s v="1.- Contado"/>
    <n v="700"/>
    <s v="Comprobante de pago"/>
    <s v="Sin cartola"/>
  </r>
  <r>
    <x v="2"/>
    <s v="Peaje. Viaje semana 13 de Mayo 2021"/>
    <x v="2"/>
    <s v="96848050-2"/>
    <s v="Ruta de los Rios S.A."/>
    <s v="Construccion de carreteras y lineas de ferrocarril"/>
    <s v="S/N"/>
    <s v="1.- Contado"/>
    <n v="2800"/>
    <s v="Comprobante de pago"/>
    <s v="Sin cartola"/>
  </r>
  <r>
    <x v="2"/>
    <s v="Peaje. Viaje semana 13 de Mayo 2021"/>
    <x v="2"/>
    <s v="96.875.230-8"/>
    <s v="Ruta del Maipo Soc Concesionaria S.A."/>
    <s v="Construccion de carreteras y lineas de ferrocarril"/>
    <s v="S/N"/>
    <s v="1.- Contado"/>
    <n v="2800"/>
    <s v="Comprobante de pago"/>
    <s v="Sin cartola"/>
  </r>
  <r>
    <x v="2"/>
    <s v="Peaje. Viaje semana 13 de Mayo 2021"/>
    <x v="2"/>
    <s v="96848050-2"/>
    <s v="Ruta de los Rios S.A."/>
    <s v="Construccion de carreteras y lineas de ferrocarril"/>
    <s v="S/N"/>
    <s v="1.- Contado"/>
    <n v="2800"/>
    <s v="Comprobante de pago"/>
    <s v="Sin cartola"/>
  </r>
  <r>
    <x v="2"/>
    <s v="Peaje. Viaje semana 13 de Mayo 2021"/>
    <x v="2"/>
    <s v="96859650-5"/>
    <s v="Ruta de la Araucania S.A."/>
    <s v="Construccion de carreteras y lineas de ferrocarril"/>
    <s v="S/N"/>
    <s v="1.- Contado"/>
    <n v="2700"/>
    <s v="Comprobante de pago"/>
    <s v="Sin cartola"/>
  </r>
  <r>
    <x v="2"/>
    <s v="Peaje. Viaje semana 13 de Mayo 2021"/>
    <x v="2"/>
    <s v="96859650-5"/>
    <s v="Ruta de la Araucania S.A."/>
    <s v="Construccion de carreteras y lineas de ferrocarril"/>
    <s v="S/N"/>
    <s v="1.- Contado"/>
    <n v="2700"/>
    <s v="Comprobante de pago"/>
    <s v="Sin cartola"/>
  </r>
  <r>
    <x v="2"/>
    <s v="Peaje. Viaje semana 13 de Mayo 2021"/>
    <x v="2"/>
    <s v="96843170-6"/>
    <s v="Ruta del Bosque Soc. Concesionaria"/>
    <s v="Construccion de carreteras y lineas de ferrocarril"/>
    <s v="S/N"/>
    <s v="1.- Contado"/>
    <n v="2600"/>
    <s v="Comprobante de pago"/>
    <s v="Sin cartola"/>
  </r>
  <r>
    <x v="2"/>
    <s v="Peaje. Viaje semana 13 de Mayo 2021"/>
    <x v="2"/>
    <s v="96859650-5"/>
    <s v="Ruta de la Araucania S.A."/>
    <s v="Construccion de carreteras y lineas de ferrocarril"/>
    <s v="S/N"/>
    <s v="1.- Contado"/>
    <n v="2700"/>
    <s v="Comprobante de pago"/>
    <s v="Sin cartola"/>
  </r>
  <r>
    <x v="2"/>
    <s v="Peaje. Viaje semana 13 de Mayo 2021"/>
    <x v="2"/>
    <s v="77337752-9"/>
    <s v="Soc. Conc. Ruta 5 Talca Chillan S.A."/>
    <s v="Construccion de carreteras y lineas de ferrocarril"/>
    <s v="S/N"/>
    <s v="1.- Contado"/>
    <n v="2300"/>
    <s v="Comprobante de pago"/>
    <s v="Sin cartola"/>
  </r>
  <r>
    <x v="2"/>
    <s v="Peaje. Viaje semana 13 de Mayo 2021"/>
    <x v="2"/>
    <s v="96843170-6"/>
    <s v="Ruta del Bosque Soc. Concesionaria"/>
    <s v="Construccion de carreteras y lineas de ferrocarril"/>
    <s v="S/N"/>
    <s v="1.- Contado"/>
    <n v="2600"/>
    <s v="Comprobante de pago"/>
    <s v="Sin cartola"/>
  </r>
  <r>
    <x v="2"/>
    <s v="Peaje. Viaje semana 13 de Mayo 2021"/>
    <x v="2"/>
    <s v="77337752-9"/>
    <s v="Soc. Conc. Ruta 5 Talca Chillan S.A."/>
    <s v="Construccion de carreteras y lineas de ferrocarril"/>
    <s v="S/N"/>
    <s v="1.- Contado"/>
    <n v="2300"/>
    <s v="Comprobante de pago"/>
    <s v="Sin cartola"/>
  </r>
  <r>
    <x v="2"/>
    <s v="Peaje. Viaje semana 13 de Mayo 2021"/>
    <x v="2"/>
    <s v="96843170-6"/>
    <s v="Ruta del Bosque Soc. Concesionaria"/>
    <s v="Construccion de carreteras y lineas de ferrocarril"/>
    <s v="S/N"/>
    <s v="1.- Contado"/>
    <n v="2600"/>
    <s v="Comprobante de pago"/>
    <s v="Sin cartola"/>
  </r>
  <r>
    <x v="2"/>
    <s v="Peaje. Viaje semana 13 de Mayo 2021"/>
    <x v="2"/>
    <s v="77337752-9"/>
    <s v="Soc. Conc. Ruta 5 Talca Chillan S.A."/>
    <s v="Construccion de carreteras y lineas de ferrocarril"/>
    <s v="S/N"/>
    <s v="1.- Contado"/>
    <n v="2300"/>
    <s v="Comprobante de pago"/>
    <s v="Sin cartola"/>
  </r>
  <r>
    <x v="2"/>
    <s v="Estacionamiento. Viaje semana 13 de Mayo 2021"/>
    <x v="3"/>
    <m/>
    <s v="Plaza Nueva Aldea"/>
    <s v="Estacionamientos"/>
    <s v="S/N"/>
    <s v="1.- Contado"/>
    <n v="1260"/>
    <s v="Comprobante de pago"/>
    <s v="Sin cartola"/>
  </r>
  <r>
    <x v="2"/>
    <s v="Estacionamiento. Viaje semana 13 de Mayo 2021"/>
    <x v="3"/>
    <m/>
    <s v="Plaza Nueva Aldea"/>
    <s v="Estacionamientos"/>
    <s v="S/N"/>
    <s v="1.- Contado"/>
    <n v="1260"/>
    <s v="Comprobante de pago"/>
    <s v="Sin cartola"/>
  </r>
  <r>
    <x v="2"/>
    <s v="Peaje. Viaje semana 13 de Mayo 2021"/>
    <x v="2"/>
    <s v="96843170-6"/>
    <s v="Ruta del Bosque Soc. Concesionaria"/>
    <s v="Construccion de carreteras y lineas de ferrocarril"/>
    <s v="S/N"/>
    <s v="1.- Contado"/>
    <n v="2600"/>
    <s v="Comprobante de pago"/>
    <s v="Sin cartola"/>
  </r>
  <r>
    <x v="2"/>
    <s v="Peaje. Viaje semana 13 de Mayo 2021"/>
    <x v="2"/>
    <s v="96848050-2"/>
    <s v="Ruta de los Rios S.A."/>
    <s v="Construccion de carreteras y lineas de ferrocarril"/>
    <s v="S/N"/>
    <s v="1.- Contado"/>
    <n v="2800"/>
    <s v="Comprobante de pago"/>
    <s v="Sin cartola"/>
  </r>
  <r>
    <x v="2"/>
    <s v="Comida. Viaje semana 13 de Mayo 2021"/>
    <x v="5"/>
    <s v="77215640-5"/>
    <s v="Adm de ventas al detalle ltda"/>
    <s v="Estacion Servicios"/>
    <n v="309213412"/>
    <s v="1.- Contado"/>
    <n v="5150"/>
    <s v="Boleta"/>
    <s v="Sin cartola"/>
  </r>
  <r>
    <x v="2"/>
    <s v="Comida. Viaje semana 13 de Mayo 2021"/>
    <x v="5"/>
    <s v="77215640-5"/>
    <s v="Adm de ventas al detalle ltda"/>
    <s v="Estacion Servicios"/>
    <n v="309213412"/>
    <s v="1.- Contado"/>
    <n v="650"/>
    <s v="Boleta"/>
    <s v="Sin cartola"/>
  </r>
  <r>
    <x v="2"/>
    <s v="Peaje. Viaje semana 13 de Mayo 2021"/>
    <x v="2"/>
    <s v="77337752-9"/>
    <s v="Soc. Conc. Ruta 5 Talca Chillan S.A."/>
    <s v="Construccion de carreteras y lineas de ferrocarril"/>
    <s v="S/N"/>
    <s v="1.- Contado"/>
    <n v="2300"/>
    <s v="Comprobante de pago"/>
    <s v="Sin cartola"/>
  </r>
  <r>
    <x v="2"/>
    <s v="Peaje. Viaje semana 13 de Mayo 2021"/>
    <x v="2"/>
    <s v="96.875.230-8"/>
    <s v="Ruta del Maipo Soc Concesionaria S.A."/>
    <s v="Construccion de carreteras y lineas de ferrocarril"/>
    <s v="S/N"/>
    <s v="1.- Contado"/>
    <n v="2800"/>
    <s v="Comprobante de pago"/>
    <s v="Sin cartola"/>
  </r>
  <r>
    <x v="2"/>
    <s v="Comida. Viaje semana 13 de Mayo 2021"/>
    <x v="5"/>
    <s v="77215640-5"/>
    <s v="Adm de ventas al detalle ltda"/>
    <s v="Estacion Servicios"/>
    <n v="309100024"/>
    <s v="1.- Contado"/>
    <n v="5780"/>
    <s v="Boleta"/>
    <s v="Sin cartola"/>
  </r>
  <r>
    <x v="2"/>
    <s v="Compraventa"/>
    <x v="0"/>
    <s v="10.755.410-6"/>
    <s v="Andres Felipe Rieutord Alvarado"/>
    <s v="Notario publico"/>
    <n v="221077"/>
    <s v="1.- Contado"/>
    <n v="45000"/>
    <s v="Boleta de honorarios"/>
    <s v="Sin cartola"/>
  </r>
  <r>
    <x v="2"/>
    <s v="Inscripciones servidumbres"/>
    <x v="0"/>
    <s v="4.344.155-8"/>
    <s v="Raul Leiva Uribe-Echeverria"/>
    <s v="Notario y conservador de bienes raices"/>
    <n v="12942"/>
    <s v="1.- Contado"/>
    <n v="85000"/>
    <s v="Boleta de honorarios"/>
    <s v="Sin cartola"/>
  </r>
  <r>
    <x v="3"/>
    <s v="Compraventa"/>
    <x v="0"/>
    <s v="10.755.410-6"/>
    <s v="Andres Felipe Rieutord Alvarado"/>
    <s v="Notario publico"/>
    <n v="225160"/>
    <s v="1.- Contado"/>
    <n v="40000"/>
    <s v="Boleta de honorarios"/>
    <s v="Sin cartola"/>
  </r>
  <r>
    <x v="4"/>
    <s v="Inscripciones compraventa"/>
    <x v="0"/>
    <s v="4.344.155-8"/>
    <s v="Raul Leiva Uribe-Echeverria"/>
    <s v="Notario y conservador de bienes raices"/>
    <n v="14524"/>
    <s v="1.- Contado"/>
    <n v="8000"/>
    <s v="Boleta de honorarios"/>
    <s v="Sin cartola"/>
  </r>
  <r>
    <x v="4"/>
    <s v="Escritura de compra venta"/>
    <x v="0"/>
    <s v="13952284-2"/>
    <s v="Constanza Quintana Jaramillo"/>
    <s v="Servicios de asesoriamiento notariales"/>
    <n v="4907"/>
    <s v="1.- Contado"/>
    <n v="70000"/>
    <s v="Boleta de honorarios"/>
    <s v="Sin cartola"/>
  </r>
  <r>
    <x v="5"/>
    <s v="Inscripciones compraventa"/>
    <x v="0"/>
    <s v="4.344.155-8"/>
    <s v="Raul Leiva Uribe-Echeverria"/>
    <s v="Notario y conservador de bienes raices"/>
    <n v="16600"/>
    <s v="1.- Contado"/>
    <n v="85000"/>
    <s v="Boleta de honorarios"/>
    <s v="Sin cartola"/>
  </r>
  <r>
    <x v="6"/>
    <s v="Inscripciones compraventa"/>
    <x v="0"/>
    <s v="4.344.155-8"/>
    <s v="Raul Leiva Uribe-Echeverria"/>
    <s v="Notario y conservador de bienes raices"/>
    <n v="17118"/>
    <s v="1.- Contado"/>
    <n v="190000"/>
    <s v="Boleta de honorarios"/>
    <s v="Sin cartola"/>
  </r>
  <r>
    <x v="7"/>
    <s v="Peaje. Viaje semana 10 de Octubre 2021"/>
    <x v="6"/>
    <s v="96.875.230-8"/>
    <s v="Ruta del Maipo Soc Concesionaria S.A."/>
    <s v="Construccion de carreteras y lineas de ferrocarril"/>
    <s v="S/N"/>
    <s v="1.- Contado"/>
    <n v="2800"/>
    <s v="Comprobante de pago"/>
    <s v="Sin cartola"/>
  </r>
  <r>
    <x v="7"/>
    <s v="Combustible. Viaje semana 10 de Octubre 2021"/>
    <x v="1"/>
    <s v="76167134-0"/>
    <s v="Comercial Maho Ltda"/>
    <s v="Estacion Servicios"/>
    <n v="1667354"/>
    <s v="1.- Contado"/>
    <n v="16502"/>
    <s v="Boleta"/>
    <s v="Sin cartola"/>
  </r>
  <r>
    <x v="7"/>
    <s v="Peaje. Viaje semana 10 de Octubre 2021"/>
    <x v="2"/>
    <s v="77337752-9"/>
    <s v="Soc. Conc. Ruta 5 Talca Chillan S.A."/>
    <s v="Construccion de carreteras y lineas de ferrocarril"/>
    <s v="S/N"/>
    <s v="1.- Contado"/>
    <n v="2300"/>
    <s v="Comprobante de pago"/>
    <s v="Sin cartola"/>
  </r>
  <r>
    <x v="7"/>
    <s v="Peaje. Viaje semana 10 de Octubre 2021"/>
    <x v="2"/>
    <s v="77337752-9"/>
    <s v="Soc. Conc. Ruta 5 Talca Chillan S.A."/>
    <s v="Construccion de carreteras y lineas de ferrocarril"/>
    <s v="S/N"/>
    <s v="1.- Contado"/>
    <n v="2300"/>
    <s v="Comprobante de pago"/>
    <s v="Sin cartola"/>
  </r>
  <r>
    <x v="7"/>
    <s v="Peaje. Viaje semana 10 de Octubre 2021"/>
    <x v="6"/>
    <s v="96.875.230-8"/>
    <s v="Ruta del Maipo Soc Concesionaria S.A."/>
    <s v="Construccion de carreteras y lineas de ferrocarril"/>
    <s v="S/N"/>
    <s v="1.- Contado"/>
    <n v="2800"/>
    <s v="Comprobante de pago"/>
    <s v="Sin cartol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973127-B1E0-4252-B374-FC641E6A284F}" name="PivotTable1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R2:W14" firstHeaderRow="0" firstDataRow="1" firstDataCol="1"/>
  <pivotFields count="15">
    <pivotField axis="axisRow" numFmtId="17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dataField="1" numFmtId="41" showAll="0"/>
    <pivotField dataField="1" numFmtId="41" showAll="0"/>
    <pivotField dataField="1" numFmtId="41" showAll="0"/>
    <pivotField dataField="1" numFmtId="41" showAll="0"/>
    <pivotField numFmtId="41" showAll="0"/>
    <pivotField dataField="1" numFmtId="4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14"/>
    <field x="0"/>
  </rowFields>
  <rowItems count="12"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Monto Exento" fld="8" baseField="0" baseItem="0"/>
    <dataField name="Sum of Monto Neto" fld="9" baseField="0" baseItem="0"/>
    <dataField name="Sum of Monto IVA Recuperable" fld="10" baseField="0" baseItem="0"/>
    <dataField name="Sum of Monto Iva No Recuperable" fld="11" baseField="0" baseItem="0"/>
    <dataField name="Sum of Monto Total" fld="13" baseField="0" baseItem="0"/>
  </dataFields>
  <formats count="2"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49CDB-0F8D-4FDA-9AFF-F037593B1A7F}" name="PivotTable2" cacheId="9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S2:T26" firstHeaderRow="1" firstDataRow="1" firstDataCol="1"/>
  <pivotFields count="11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Row" showAll="0">
      <items count="8">
        <item x="4"/>
        <item x="5"/>
        <item x="1"/>
        <item x="3"/>
        <item x="0"/>
        <item x="6"/>
        <item x="2"/>
        <item t="default"/>
      </items>
    </pivotField>
    <pivotField showAll="0"/>
    <pivotField showAll="0"/>
    <pivotField showAll="0"/>
    <pivotField showAll="0"/>
    <pivotField showAll="0"/>
    <pivotField dataField="1" numFmtId="41" showAll="0"/>
    <pivotField showAll="0"/>
    <pivotField showAll="0"/>
  </pivotFields>
  <rowFields count="2">
    <field x="0"/>
    <field x="2"/>
  </rowFields>
  <rowItems count="24">
    <i>
      <x/>
    </i>
    <i r="1">
      <x v="2"/>
    </i>
    <i r="1">
      <x v="4"/>
    </i>
    <i>
      <x v="1"/>
    </i>
    <i r="1">
      <x v="4"/>
    </i>
    <i>
      <x v="2"/>
    </i>
    <i r="1">
      <x/>
    </i>
    <i r="1">
      <x v="1"/>
    </i>
    <i r="1">
      <x v="3"/>
    </i>
    <i r="1">
      <x v="4"/>
    </i>
    <i r="1">
      <x v="6"/>
    </i>
    <i>
      <x v="3"/>
    </i>
    <i r="1">
      <x v="4"/>
    </i>
    <i>
      <x v="4"/>
    </i>
    <i r="1">
      <x v="4"/>
    </i>
    <i>
      <x v="5"/>
    </i>
    <i r="1">
      <x v="4"/>
    </i>
    <i>
      <x v="6"/>
    </i>
    <i r="1">
      <x v="4"/>
    </i>
    <i>
      <x v="7"/>
    </i>
    <i r="1">
      <x v="2"/>
    </i>
    <i r="1">
      <x v="5"/>
    </i>
    <i r="1">
      <x v="6"/>
    </i>
    <i t="grand">
      <x/>
    </i>
  </rowItems>
  <colItems count="1">
    <i/>
  </colItems>
  <dataFields count="1">
    <dataField name="Sum of Monto" fld="8" baseField="0" baseItem="0" numFmtId="41"/>
  </dataFields>
  <formats count="9">
    <format dxfId="8">
      <pivotArea outline="0" collapsedLevelsAreSubtotals="1" fieldPosition="0"/>
    </format>
    <format dxfId="7">
      <pivotArea collapsedLevelsAreSubtotals="1" fieldPosition="0">
        <references count="1">
          <reference field="0" count="1">
            <x v="0"/>
          </reference>
        </references>
      </pivotArea>
    </format>
    <format dxfId="6">
      <pivotArea collapsedLevelsAreSubtotals="1" fieldPosition="0">
        <references count="1">
          <reference field="0" count="1">
            <x v="1"/>
          </reference>
        </references>
      </pivotArea>
    </format>
    <format dxfId="5">
      <pivotArea collapsedLevelsAreSubtotals="1" fieldPosition="0">
        <references count="1">
          <reference field="0" count="1">
            <x v="2"/>
          </reference>
        </references>
      </pivotArea>
    </format>
    <format dxfId="4">
      <pivotArea collapsedLevelsAreSubtotals="1" fieldPosition="0">
        <references count="1">
          <reference field="0" count="1">
            <x v="3"/>
          </reference>
        </references>
      </pivotArea>
    </format>
    <format dxfId="3">
      <pivotArea collapsedLevelsAreSubtotals="1" fieldPosition="0">
        <references count="1">
          <reference field="0" count="1">
            <x v="4"/>
          </reference>
        </references>
      </pivotArea>
    </format>
    <format dxfId="2">
      <pivotArea collapsedLevelsAreSubtotals="1" fieldPosition="0">
        <references count="1">
          <reference field="0" count="1">
            <x v="5"/>
          </reference>
        </references>
      </pivotArea>
    </format>
    <format dxfId="1">
      <pivotArea collapsedLevelsAreSubtotals="1" fieldPosition="0">
        <references count="1">
          <reference field="0" count="1">
            <x v="6"/>
          </reference>
        </references>
      </pivotArea>
    </format>
    <format dxfId="0">
      <pivotArea collapsedLevelsAreSubtotals="1" fieldPosition="0">
        <references count="1">
          <reference field="0" count="1"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43A51-A625-4B39-9116-35332BEDB4BD}">
  <sheetPr filterMode="1"/>
  <dimension ref="A1:O34"/>
  <sheetViews>
    <sheetView topLeftCell="B6" workbookViewId="0">
      <selection activeCell="F6" sqref="F6:F34"/>
    </sheetView>
  </sheetViews>
  <sheetFormatPr defaultRowHeight="15" x14ac:dyDescent="0.25"/>
  <cols>
    <col min="2" max="2" width="6.140625" bestFit="1" customWidth="1"/>
    <col min="3" max="3" width="36.42578125" bestFit="1" customWidth="1"/>
    <col min="4" max="4" width="15.28515625" bestFit="1" customWidth="1"/>
    <col min="5" max="5" width="14.42578125" bestFit="1" customWidth="1"/>
    <col min="6" max="6" width="15.28515625" bestFit="1" customWidth="1"/>
    <col min="7" max="7" width="10" bestFit="1" customWidth="1"/>
    <col min="8" max="9" width="10" style="65" customWidth="1"/>
    <col min="10" max="10" width="13.7109375" customWidth="1"/>
    <col min="11" max="11" width="25" bestFit="1" customWidth="1"/>
    <col min="12" max="12" width="25" customWidth="1"/>
    <col min="13" max="13" width="7.140625" bestFit="1" customWidth="1"/>
    <col min="14" max="14" width="10" bestFit="1" customWidth="1"/>
    <col min="15" max="15" width="10.7109375" bestFit="1" customWidth="1"/>
  </cols>
  <sheetData>
    <row r="1" spans="1:15" x14ac:dyDescent="0.25">
      <c r="B1" t="s">
        <v>47</v>
      </c>
    </row>
    <row r="3" spans="1:15" x14ac:dyDescent="0.25">
      <c r="A3" s="3" t="s">
        <v>86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382</v>
      </c>
      <c r="I3" s="3" t="s">
        <v>384</v>
      </c>
      <c r="J3" s="22" t="s">
        <v>249</v>
      </c>
      <c r="K3" s="22" t="s">
        <v>250</v>
      </c>
      <c r="L3" s="22" t="s">
        <v>255</v>
      </c>
    </row>
    <row r="4" spans="1:15" hidden="1" x14ac:dyDescent="0.25">
      <c r="A4" s="11"/>
      <c r="B4" s="12" t="s">
        <v>0</v>
      </c>
      <c r="C4" s="12" t="s">
        <v>1</v>
      </c>
      <c r="D4" s="12"/>
      <c r="E4" s="13"/>
      <c r="F4" s="13"/>
      <c r="G4" s="13">
        <v>1021058</v>
      </c>
      <c r="H4" s="66"/>
      <c r="I4" s="66"/>
      <c r="J4" s="17"/>
      <c r="K4" s="17"/>
      <c r="L4" s="17"/>
    </row>
    <row r="5" spans="1:15" hidden="1" x14ac:dyDescent="0.25">
      <c r="A5" s="11">
        <v>44197</v>
      </c>
      <c r="B5" s="12" t="s">
        <v>2</v>
      </c>
      <c r="C5" s="12" t="s">
        <v>3</v>
      </c>
      <c r="D5" s="12" t="s">
        <v>4</v>
      </c>
      <c r="E5" s="13">
        <v>76467</v>
      </c>
      <c r="F5" s="13"/>
      <c r="G5" s="13">
        <f>+F5-E5+G4</f>
        <v>944591</v>
      </c>
      <c r="H5" s="66"/>
      <c r="I5" s="66"/>
      <c r="J5" s="17"/>
      <c r="K5" s="17" t="s">
        <v>370</v>
      </c>
      <c r="L5" s="17" t="s">
        <v>371</v>
      </c>
    </row>
    <row r="6" spans="1:15" x14ac:dyDescent="0.25">
      <c r="A6" s="11">
        <v>44197</v>
      </c>
      <c r="B6" s="12" t="s">
        <v>2</v>
      </c>
      <c r="C6" s="12" t="s">
        <v>5</v>
      </c>
      <c r="D6" s="12" t="s">
        <v>4</v>
      </c>
      <c r="E6" s="13"/>
      <c r="F6" s="13">
        <v>5000000</v>
      </c>
      <c r="G6" s="13">
        <f t="shared" ref="G6:G34" si="0">+F6-E6+G5</f>
        <v>5944591</v>
      </c>
      <c r="H6" s="66"/>
      <c r="I6" s="66"/>
      <c r="J6" s="24" t="s">
        <v>251</v>
      </c>
      <c r="K6" s="24" t="s">
        <v>252</v>
      </c>
      <c r="L6" s="24" t="s">
        <v>265</v>
      </c>
    </row>
    <row r="7" spans="1:15" hidden="1" x14ac:dyDescent="0.25">
      <c r="A7" s="11">
        <v>44197</v>
      </c>
      <c r="B7" s="12" t="s">
        <v>6</v>
      </c>
      <c r="C7" s="12" t="s">
        <v>7</v>
      </c>
      <c r="D7" s="12" t="s">
        <v>4</v>
      </c>
      <c r="E7" s="13">
        <v>87030</v>
      </c>
      <c r="F7" s="13"/>
      <c r="G7" s="13">
        <f t="shared" si="0"/>
        <v>5857561</v>
      </c>
      <c r="H7" s="66"/>
      <c r="I7" s="66"/>
      <c r="J7" s="24" t="s">
        <v>361</v>
      </c>
      <c r="K7" s="24" t="s">
        <v>360</v>
      </c>
      <c r="L7" s="24" t="s">
        <v>359</v>
      </c>
    </row>
    <row r="8" spans="1:15" hidden="1" x14ac:dyDescent="0.25">
      <c r="A8" s="18">
        <v>44197</v>
      </c>
      <c r="B8" s="19" t="s">
        <v>8</v>
      </c>
      <c r="C8" s="19" t="s">
        <v>9</v>
      </c>
      <c r="D8" s="19" t="s">
        <v>4</v>
      </c>
      <c r="E8" s="20">
        <v>476293</v>
      </c>
      <c r="F8" s="20"/>
      <c r="G8" s="20">
        <f t="shared" si="0"/>
        <v>5381268</v>
      </c>
      <c r="H8" s="67" t="s">
        <v>665</v>
      </c>
      <c r="I8" s="68" t="s">
        <v>648</v>
      </c>
      <c r="J8" s="21" t="s">
        <v>380</v>
      </c>
      <c r="K8" s="21" t="s">
        <v>381</v>
      </c>
      <c r="L8" s="21"/>
    </row>
    <row r="9" spans="1:15" hidden="1" x14ac:dyDescent="0.25">
      <c r="A9" s="11">
        <v>44197</v>
      </c>
      <c r="B9" s="12" t="s">
        <v>8</v>
      </c>
      <c r="C9" s="12" t="s">
        <v>9</v>
      </c>
      <c r="D9" s="12" t="s">
        <v>4</v>
      </c>
      <c r="E9" s="13">
        <v>150000</v>
      </c>
      <c r="F9" s="13"/>
      <c r="G9" s="13">
        <f t="shared" si="0"/>
        <v>5231268</v>
      </c>
      <c r="H9" s="66"/>
      <c r="I9" s="66"/>
      <c r="J9" s="17"/>
      <c r="K9" s="17"/>
      <c r="L9" s="17"/>
    </row>
    <row r="10" spans="1:15" hidden="1" x14ac:dyDescent="0.25">
      <c r="A10" s="18">
        <v>44197</v>
      </c>
      <c r="B10" s="19" t="s">
        <v>10</v>
      </c>
      <c r="C10" s="19" t="s">
        <v>11</v>
      </c>
      <c r="D10" s="19" t="s">
        <v>4</v>
      </c>
      <c r="E10" s="20">
        <v>40000</v>
      </c>
      <c r="F10" s="20"/>
      <c r="G10" s="20">
        <f t="shared" si="0"/>
        <v>5191268</v>
      </c>
      <c r="H10" s="67" t="s">
        <v>647</v>
      </c>
      <c r="I10" s="68" t="s">
        <v>648</v>
      </c>
      <c r="J10" s="21" t="s">
        <v>332</v>
      </c>
      <c r="K10" s="21" t="s">
        <v>331</v>
      </c>
      <c r="L10" s="21" t="s">
        <v>333</v>
      </c>
    </row>
    <row r="11" spans="1:15" hidden="1" x14ac:dyDescent="0.25">
      <c r="A11" s="11">
        <v>44197</v>
      </c>
      <c r="B11" s="12" t="s">
        <v>12</v>
      </c>
      <c r="C11" s="12" t="s">
        <v>9</v>
      </c>
      <c r="D11" s="12" t="s">
        <v>4</v>
      </c>
      <c r="E11" s="13">
        <v>1130000</v>
      </c>
      <c r="F11" s="13"/>
      <c r="G11" s="13">
        <f t="shared" si="0"/>
        <v>4061268</v>
      </c>
      <c r="H11" s="66"/>
      <c r="I11" s="66"/>
      <c r="J11" s="17"/>
      <c r="K11" s="17"/>
      <c r="L11" s="17"/>
    </row>
    <row r="12" spans="1:15" hidden="1" x14ac:dyDescent="0.25">
      <c r="A12" s="11">
        <v>44197</v>
      </c>
      <c r="B12" s="12" t="s">
        <v>13</v>
      </c>
      <c r="C12" s="12" t="s">
        <v>14</v>
      </c>
      <c r="D12" s="12" t="s">
        <v>4</v>
      </c>
      <c r="E12" s="13">
        <v>2300000</v>
      </c>
      <c r="F12" s="13"/>
      <c r="G12" s="13">
        <f t="shared" si="0"/>
        <v>1761268</v>
      </c>
      <c r="H12" s="66"/>
      <c r="I12" s="66"/>
      <c r="J12" s="17" t="s">
        <v>350</v>
      </c>
      <c r="K12" s="17" t="s">
        <v>349</v>
      </c>
      <c r="L12" s="17" t="s">
        <v>666</v>
      </c>
      <c r="M12" s="1">
        <v>44225</v>
      </c>
      <c r="N12" s="2">
        <v>1761268</v>
      </c>
      <c r="O12" s="2">
        <f>+G12-N12</f>
        <v>0</v>
      </c>
    </row>
    <row r="13" spans="1:15" hidden="1" x14ac:dyDescent="0.25">
      <c r="A13" s="11">
        <v>44228</v>
      </c>
      <c r="B13" s="12" t="s">
        <v>21</v>
      </c>
      <c r="C13" s="12" t="s">
        <v>14</v>
      </c>
      <c r="D13" s="12" t="s">
        <v>4</v>
      </c>
      <c r="E13" s="13">
        <v>19000</v>
      </c>
      <c r="F13" s="13"/>
      <c r="G13" s="13">
        <f t="shared" si="0"/>
        <v>1742268</v>
      </c>
      <c r="H13" s="66"/>
      <c r="I13" s="66"/>
      <c r="J13" s="17" t="s">
        <v>350</v>
      </c>
      <c r="K13" s="17" t="s">
        <v>349</v>
      </c>
      <c r="L13" s="17" t="s">
        <v>666</v>
      </c>
    </row>
    <row r="14" spans="1:15" hidden="1" x14ac:dyDescent="0.25">
      <c r="A14" s="11">
        <v>44228</v>
      </c>
      <c r="B14" s="12" t="s">
        <v>22</v>
      </c>
      <c r="C14" s="12" t="s">
        <v>14</v>
      </c>
      <c r="D14" s="12" t="s">
        <v>4</v>
      </c>
      <c r="E14" s="13">
        <v>50000</v>
      </c>
      <c r="F14" s="13"/>
      <c r="G14" s="13">
        <f t="shared" si="0"/>
        <v>1692268</v>
      </c>
      <c r="H14" s="66"/>
      <c r="I14" s="66"/>
      <c r="J14" s="17" t="s">
        <v>350</v>
      </c>
      <c r="K14" s="17" t="s">
        <v>349</v>
      </c>
      <c r="L14" s="17" t="s">
        <v>666</v>
      </c>
    </row>
    <row r="15" spans="1:15" hidden="1" x14ac:dyDescent="0.25">
      <c r="A15" s="18">
        <v>44228</v>
      </c>
      <c r="B15" s="19" t="s">
        <v>23</v>
      </c>
      <c r="C15" s="19" t="s">
        <v>24</v>
      </c>
      <c r="D15" s="19" t="s">
        <v>4</v>
      </c>
      <c r="E15" s="20">
        <v>5880</v>
      </c>
      <c r="F15" s="20"/>
      <c r="G15" s="20">
        <f t="shared" si="0"/>
        <v>1686388</v>
      </c>
      <c r="H15" s="67" t="s">
        <v>647</v>
      </c>
      <c r="I15" s="68" t="s">
        <v>649</v>
      </c>
      <c r="J15" s="21" t="s">
        <v>582</v>
      </c>
      <c r="K15" s="21" t="s">
        <v>583</v>
      </c>
      <c r="L15" s="21" t="s">
        <v>650</v>
      </c>
    </row>
    <row r="16" spans="1:15" hidden="1" x14ac:dyDescent="0.25">
      <c r="A16" s="11">
        <v>44228</v>
      </c>
      <c r="B16" s="12" t="s">
        <v>25</v>
      </c>
      <c r="C16" s="12" t="s">
        <v>26</v>
      </c>
      <c r="D16" s="12" t="s">
        <v>4</v>
      </c>
      <c r="E16" s="13">
        <v>60000</v>
      </c>
      <c r="F16" s="13"/>
      <c r="G16" s="13">
        <f t="shared" si="0"/>
        <v>1626388</v>
      </c>
      <c r="H16" s="66"/>
      <c r="I16" s="66"/>
      <c r="J16" s="17" t="s">
        <v>261</v>
      </c>
      <c r="K16" s="17" t="s">
        <v>257</v>
      </c>
      <c r="L16" s="17" t="s">
        <v>258</v>
      </c>
    </row>
    <row r="17" spans="1:15" x14ac:dyDescent="0.25">
      <c r="A17" s="11">
        <v>44228</v>
      </c>
      <c r="B17" s="12" t="s">
        <v>27</v>
      </c>
      <c r="C17" s="12" t="s">
        <v>28</v>
      </c>
      <c r="D17" s="12" t="s">
        <v>4</v>
      </c>
      <c r="E17" s="13"/>
      <c r="F17" s="13">
        <v>250000</v>
      </c>
      <c r="G17" s="13">
        <f t="shared" si="0"/>
        <v>1876388</v>
      </c>
      <c r="H17" s="66"/>
      <c r="I17" s="66"/>
      <c r="J17" s="24" t="s">
        <v>348</v>
      </c>
      <c r="K17" s="24" t="s">
        <v>347</v>
      </c>
      <c r="L17" s="24" t="s">
        <v>265</v>
      </c>
    </row>
    <row r="18" spans="1:15" x14ac:dyDescent="0.25">
      <c r="A18" s="11">
        <v>44228</v>
      </c>
      <c r="B18" s="12" t="s">
        <v>27</v>
      </c>
      <c r="C18" s="12" t="s">
        <v>28</v>
      </c>
      <c r="D18" s="12" t="s">
        <v>4</v>
      </c>
      <c r="E18" s="13"/>
      <c r="F18" s="13">
        <v>250000</v>
      </c>
      <c r="G18" s="13">
        <f t="shared" si="0"/>
        <v>2126388</v>
      </c>
      <c r="H18" s="66"/>
      <c r="I18" s="66"/>
      <c r="J18" s="24" t="s">
        <v>348</v>
      </c>
      <c r="K18" s="24" t="s">
        <v>347</v>
      </c>
      <c r="L18" s="24" t="s">
        <v>265</v>
      </c>
    </row>
    <row r="19" spans="1:15" x14ac:dyDescent="0.25">
      <c r="A19" s="11">
        <v>44228</v>
      </c>
      <c r="B19" s="12" t="s">
        <v>29</v>
      </c>
      <c r="C19" s="12" t="s">
        <v>30</v>
      </c>
      <c r="D19" s="12" t="s">
        <v>4</v>
      </c>
      <c r="E19" s="13"/>
      <c r="F19" s="13">
        <v>350000</v>
      </c>
      <c r="G19" s="13">
        <f t="shared" si="0"/>
        <v>2476388</v>
      </c>
      <c r="H19" s="66"/>
      <c r="I19" s="66"/>
      <c r="J19" s="17"/>
      <c r="K19" s="17" t="s">
        <v>372</v>
      </c>
      <c r="L19" s="24" t="s">
        <v>265</v>
      </c>
    </row>
    <row r="20" spans="1:15" x14ac:dyDescent="0.25">
      <c r="A20" s="11">
        <v>44228</v>
      </c>
      <c r="B20" s="12" t="s">
        <v>31</v>
      </c>
      <c r="C20" s="12" t="s">
        <v>30</v>
      </c>
      <c r="D20" s="12" t="s">
        <v>4</v>
      </c>
      <c r="E20" s="13"/>
      <c r="F20" s="13">
        <v>250000</v>
      </c>
      <c r="G20" s="13">
        <f t="shared" si="0"/>
        <v>2726388</v>
      </c>
      <c r="H20" s="66"/>
      <c r="I20" s="66"/>
      <c r="J20" s="17"/>
      <c r="K20" s="17" t="s">
        <v>372</v>
      </c>
      <c r="L20" s="24" t="s">
        <v>265</v>
      </c>
      <c r="M20" s="1">
        <v>44253</v>
      </c>
      <c r="N20" s="2">
        <v>2726388</v>
      </c>
      <c r="O20" s="2">
        <f>+G20-N20</f>
        <v>0</v>
      </c>
    </row>
    <row r="21" spans="1:15" hidden="1" x14ac:dyDescent="0.25">
      <c r="A21" s="18">
        <v>44256</v>
      </c>
      <c r="B21" s="19" t="s">
        <v>32</v>
      </c>
      <c r="C21" s="19" t="s">
        <v>33</v>
      </c>
      <c r="D21" s="19" t="s">
        <v>34</v>
      </c>
      <c r="E21" s="20">
        <v>65129</v>
      </c>
      <c r="F21" s="20"/>
      <c r="G21" s="20">
        <f t="shared" si="0"/>
        <v>2661259</v>
      </c>
      <c r="H21" s="67" t="s">
        <v>247</v>
      </c>
      <c r="I21" s="67"/>
      <c r="J21" s="21"/>
      <c r="K21" s="21" t="s">
        <v>321</v>
      </c>
      <c r="L21" s="21" t="s">
        <v>322</v>
      </c>
    </row>
    <row r="22" spans="1:15" hidden="1" x14ac:dyDescent="0.25">
      <c r="A22" s="11">
        <v>44256</v>
      </c>
      <c r="B22" s="12" t="s">
        <v>32</v>
      </c>
      <c r="C22" s="12" t="s">
        <v>11</v>
      </c>
      <c r="D22" s="12" t="s">
        <v>4</v>
      </c>
      <c r="E22" s="13">
        <v>90000</v>
      </c>
      <c r="F22" s="13"/>
      <c r="G22" s="13">
        <f t="shared" si="0"/>
        <v>2571259</v>
      </c>
      <c r="H22" s="66"/>
      <c r="I22" s="66"/>
      <c r="J22" s="17" t="s">
        <v>332</v>
      </c>
      <c r="K22" s="17" t="s">
        <v>331</v>
      </c>
      <c r="L22" s="17" t="s">
        <v>333</v>
      </c>
    </row>
    <row r="23" spans="1:15" hidden="1" x14ac:dyDescent="0.25">
      <c r="A23" s="18">
        <v>44256</v>
      </c>
      <c r="B23" s="19" t="s">
        <v>32</v>
      </c>
      <c r="C23" s="19" t="s">
        <v>33</v>
      </c>
      <c r="D23" s="19" t="s">
        <v>34</v>
      </c>
      <c r="E23" s="20">
        <v>20791</v>
      </c>
      <c r="F23" s="20"/>
      <c r="G23" s="20">
        <f t="shared" si="0"/>
        <v>2550468</v>
      </c>
      <c r="H23" s="67" t="s">
        <v>247</v>
      </c>
      <c r="I23" s="67"/>
      <c r="J23" s="21"/>
      <c r="K23" s="21" t="s">
        <v>321</v>
      </c>
      <c r="L23" s="21" t="s">
        <v>322</v>
      </c>
    </row>
    <row r="24" spans="1:15" hidden="1" x14ac:dyDescent="0.25">
      <c r="A24" s="11">
        <v>44256</v>
      </c>
      <c r="B24" s="12" t="s">
        <v>32</v>
      </c>
      <c r="C24" s="12" t="s">
        <v>9</v>
      </c>
      <c r="D24" s="12" t="s">
        <v>4</v>
      </c>
      <c r="E24" s="13">
        <v>58436</v>
      </c>
      <c r="F24" s="13"/>
      <c r="G24" s="13">
        <f t="shared" si="0"/>
        <v>2492032</v>
      </c>
      <c r="H24" s="66"/>
      <c r="I24" s="66"/>
      <c r="J24" s="17"/>
      <c r="K24" s="17"/>
      <c r="L24" s="17"/>
    </row>
    <row r="25" spans="1:15" x14ac:dyDescent="0.25">
      <c r="A25" s="11">
        <v>44256</v>
      </c>
      <c r="B25" s="12" t="s">
        <v>35</v>
      </c>
      <c r="C25" s="12" t="s">
        <v>28</v>
      </c>
      <c r="D25" s="12" t="s">
        <v>4</v>
      </c>
      <c r="E25" s="13"/>
      <c r="F25" s="13">
        <v>250000</v>
      </c>
      <c r="G25" s="13">
        <f t="shared" si="0"/>
        <v>2742032</v>
      </c>
      <c r="H25" s="66"/>
      <c r="I25" s="66"/>
      <c r="J25" s="24" t="s">
        <v>348</v>
      </c>
      <c r="K25" s="24" t="s">
        <v>347</v>
      </c>
      <c r="L25" s="24" t="s">
        <v>265</v>
      </c>
    </row>
    <row r="26" spans="1:15" x14ac:dyDescent="0.25">
      <c r="A26" s="11">
        <v>44256</v>
      </c>
      <c r="B26" s="12" t="s">
        <v>36</v>
      </c>
      <c r="C26" s="12" t="s">
        <v>28</v>
      </c>
      <c r="D26" s="12" t="s">
        <v>4</v>
      </c>
      <c r="E26" s="13"/>
      <c r="F26" s="13">
        <v>250000</v>
      </c>
      <c r="G26" s="13">
        <f t="shared" si="0"/>
        <v>2992032</v>
      </c>
      <c r="H26" s="66"/>
      <c r="I26" s="66"/>
      <c r="J26" s="24" t="s">
        <v>348</v>
      </c>
      <c r="K26" s="24" t="s">
        <v>347</v>
      </c>
      <c r="L26" s="24" t="s">
        <v>265</v>
      </c>
    </row>
    <row r="27" spans="1:15" hidden="1" x14ac:dyDescent="0.25">
      <c r="A27" s="11">
        <v>44256</v>
      </c>
      <c r="B27" s="12" t="s">
        <v>37</v>
      </c>
      <c r="C27" s="12" t="s">
        <v>38</v>
      </c>
      <c r="D27" s="12" t="s">
        <v>4</v>
      </c>
      <c r="E27" s="13">
        <v>360653</v>
      </c>
      <c r="F27" s="13"/>
      <c r="G27" s="13">
        <f t="shared" si="0"/>
        <v>2631379</v>
      </c>
      <c r="H27" s="66"/>
      <c r="I27" s="66"/>
      <c r="J27" s="24" t="s">
        <v>251</v>
      </c>
      <c r="K27" s="24" t="s">
        <v>252</v>
      </c>
      <c r="L27" s="24"/>
    </row>
    <row r="28" spans="1:15" hidden="1" x14ac:dyDescent="0.25">
      <c r="A28" s="18">
        <v>44256</v>
      </c>
      <c r="B28" s="19" t="s">
        <v>37</v>
      </c>
      <c r="C28" s="19" t="s">
        <v>39</v>
      </c>
      <c r="D28" s="19" t="s">
        <v>4</v>
      </c>
      <c r="E28" s="20">
        <v>350000</v>
      </c>
      <c r="F28" s="20"/>
      <c r="G28" s="20">
        <f t="shared" si="0"/>
        <v>2281379</v>
      </c>
      <c r="H28" s="67" t="s">
        <v>647</v>
      </c>
      <c r="I28" s="69" t="s">
        <v>664</v>
      </c>
      <c r="J28" s="21" t="s">
        <v>376</v>
      </c>
      <c r="K28" s="21" t="s">
        <v>377</v>
      </c>
      <c r="L28" s="21" t="s">
        <v>378</v>
      </c>
    </row>
    <row r="29" spans="1:15" hidden="1" x14ac:dyDescent="0.25">
      <c r="A29" s="18">
        <v>44256</v>
      </c>
      <c r="B29" s="19" t="s">
        <v>37</v>
      </c>
      <c r="C29" s="19" t="s">
        <v>39</v>
      </c>
      <c r="D29" s="19" t="s">
        <v>4</v>
      </c>
      <c r="E29" s="20">
        <v>900000</v>
      </c>
      <c r="F29" s="20"/>
      <c r="G29" s="20">
        <f t="shared" si="0"/>
        <v>1381379</v>
      </c>
      <c r="H29" s="67" t="s">
        <v>647</v>
      </c>
      <c r="I29" s="69" t="s">
        <v>664</v>
      </c>
      <c r="J29" s="21" t="s">
        <v>376</v>
      </c>
      <c r="K29" s="21" t="s">
        <v>377</v>
      </c>
      <c r="L29" s="21" t="s">
        <v>378</v>
      </c>
    </row>
    <row r="30" spans="1:15" x14ac:dyDescent="0.25">
      <c r="A30" s="11">
        <v>44256</v>
      </c>
      <c r="B30" s="12" t="s">
        <v>40</v>
      </c>
      <c r="C30" s="12" t="s">
        <v>41</v>
      </c>
      <c r="D30" s="12" t="s">
        <v>4</v>
      </c>
      <c r="E30" s="13"/>
      <c r="F30" s="13">
        <v>250000</v>
      </c>
      <c r="G30" s="13">
        <f t="shared" si="0"/>
        <v>1631379</v>
      </c>
      <c r="H30" s="66"/>
      <c r="I30" s="66"/>
      <c r="J30" s="17"/>
      <c r="K30" s="17" t="s">
        <v>373</v>
      </c>
      <c r="L30" s="24" t="s">
        <v>265</v>
      </c>
    </row>
    <row r="31" spans="1:15" hidden="1" x14ac:dyDescent="0.25">
      <c r="A31" s="11">
        <v>44256</v>
      </c>
      <c r="B31" s="12" t="s">
        <v>42</v>
      </c>
      <c r="C31" s="12" t="s">
        <v>38</v>
      </c>
      <c r="D31" s="12" t="s">
        <v>4</v>
      </c>
      <c r="E31" s="13">
        <v>250000</v>
      </c>
      <c r="F31" s="13"/>
      <c r="G31" s="13">
        <f t="shared" si="0"/>
        <v>1381379</v>
      </c>
      <c r="H31" s="66"/>
      <c r="I31" s="66"/>
      <c r="J31" s="24" t="s">
        <v>251</v>
      </c>
      <c r="K31" s="24" t="s">
        <v>252</v>
      </c>
      <c r="L31" s="24"/>
    </row>
    <row r="32" spans="1:15" hidden="1" x14ac:dyDescent="0.25">
      <c r="A32" s="11">
        <v>44256</v>
      </c>
      <c r="B32" s="12" t="s">
        <v>43</v>
      </c>
      <c r="C32" s="12" t="s">
        <v>44</v>
      </c>
      <c r="D32" s="12" t="s">
        <v>4</v>
      </c>
      <c r="E32" s="13">
        <v>100000</v>
      </c>
      <c r="F32" s="13"/>
      <c r="G32" s="13">
        <f t="shared" si="0"/>
        <v>1281379</v>
      </c>
      <c r="H32" s="66"/>
      <c r="I32" s="66"/>
      <c r="J32" s="17"/>
      <c r="K32" s="17" t="s">
        <v>379</v>
      </c>
      <c r="L32" s="17"/>
    </row>
    <row r="33" spans="1:15" x14ac:dyDescent="0.25">
      <c r="A33" s="11">
        <v>44256</v>
      </c>
      <c r="B33" s="12" t="s">
        <v>43</v>
      </c>
      <c r="C33" s="12" t="s">
        <v>45</v>
      </c>
      <c r="D33" s="12" t="s">
        <v>4</v>
      </c>
      <c r="E33" s="13"/>
      <c r="F33" s="13">
        <v>250000</v>
      </c>
      <c r="G33" s="13">
        <f t="shared" si="0"/>
        <v>1531379</v>
      </c>
      <c r="H33" s="66"/>
      <c r="I33" s="66"/>
      <c r="J33" s="17"/>
      <c r="K33" s="17" t="s">
        <v>374</v>
      </c>
      <c r="L33" s="24" t="s">
        <v>265</v>
      </c>
    </row>
    <row r="34" spans="1:15" x14ac:dyDescent="0.25">
      <c r="A34" s="11">
        <v>44256</v>
      </c>
      <c r="B34" s="12" t="s">
        <v>43</v>
      </c>
      <c r="C34" s="12" t="s">
        <v>46</v>
      </c>
      <c r="D34" s="12" t="s">
        <v>4</v>
      </c>
      <c r="E34" s="13"/>
      <c r="F34" s="13">
        <v>250000</v>
      </c>
      <c r="G34" s="13">
        <f t="shared" si="0"/>
        <v>1781379</v>
      </c>
      <c r="H34" s="66"/>
      <c r="I34" s="66"/>
      <c r="J34" s="17"/>
      <c r="K34" s="17" t="s">
        <v>375</v>
      </c>
      <c r="L34" s="24" t="s">
        <v>265</v>
      </c>
      <c r="M34" s="1">
        <v>44286</v>
      </c>
      <c r="N34" s="2">
        <v>1781379</v>
      </c>
      <c r="O34" s="2">
        <f>+G34-N34</f>
        <v>0</v>
      </c>
    </row>
  </sheetData>
  <autoFilter ref="A3:L34" xr:uid="{2D043A51-A625-4B39-9116-35332BEDB4BD}">
    <filterColumn colId="11">
      <filters>
        <filter val="ANTICIPO TERRENO"/>
      </filters>
    </filterColumn>
  </autoFilter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64E3-8B00-4B70-A92B-C1238ECC1F79}">
  <sheetPr filterMode="1"/>
  <dimension ref="A2:O230"/>
  <sheetViews>
    <sheetView workbookViewId="0">
      <selection activeCell="F71" sqref="F71"/>
    </sheetView>
  </sheetViews>
  <sheetFormatPr defaultRowHeight="15" x14ac:dyDescent="0.25"/>
  <cols>
    <col min="2" max="2" width="13.140625" customWidth="1"/>
    <col min="3" max="3" width="33" bestFit="1" customWidth="1"/>
    <col min="4" max="4" width="11.42578125" bestFit="1" customWidth="1"/>
    <col min="5" max="5" width="10.85546875" bestFit="1" customWidth="1"/>
    <col min="6" max="6" width="9.85546875" bestFit="1" customWidth="1"/>
    <col min="7" max="7" width="10.85546875" bestFit="1" customWidth="1"/>
    <col min="8" max="8" width="10.85546875" customWidth="1"/>
    <col min="9" max="9" width="10.42578125" style="26" bestFit="1" customWidth="1"/>
    <col min="10" max="10" width="10.85546875" style="26" customWidth="1"/>
    <col min="11" max="11" width="29.7109375" style="26" bestFit="1" customWidth="1"/>
    <col min="12" max="12" width="25" style="26" customWidth="1"/>
    <col min="13" max="13" width="10.42578125" bestFit="1" customWidth="1"/>
    <col min="14" max="14" width="12" bestFit="1" customWidth="1"/>
    <col min="15" max="15" width="10" bestFit="1" customWidth="1"/>
  </cols>
  <sheetData>
    <row r="2" spans="1:15" x14ac:dyDescent="0.25">
      <c r="A2" s="3" t="s">
        <v>86</v>
      </c>
      <c r="B2" s="3" t="s">
        <v>48</v>
      </c>
      <c r="C2" s="3" t="s">
        <v>59</v>
      </c>
      <c r="D2" s="3" t="s">
        <v>82</v>
      </c>
      <c r="E2" s="3" t="s">
        <v>83</v>
      </c>
      <c r="F2" s="3" t="s">
        <v>84</v>
      </c>
      <c r="G2" s="3" t="s">
        <v>85</v>
      </c>
      <c r="H2" s="3" t="s">
        <v>382</v>
      </c>
      <c r="I2" s="22" t="s">
        <v>383</v>
      </c>
      <c r="J2" s="22" t="s">
        <v>249</v>
      </c>
      <c r="K2" s="22" t="s">
        <v>250</v>
      </c>
      <c r="L2" s="22" t="s">
        <v>255</v>
      </c>
    </row>
    <row r="3" spans="1:15" hidden="1" x14ac:dyDescent="0.25">
      <c r="A3" s="5"/>
      <c r="B3" s="5"/>
      <c r="C3" s="5" t="s">
        <v>1</v>
      </c>
      <c r="D3" s="5"/>
      <c r="E3" s="5"/>
      <c r="F3" s="5"/>
      <c r="G3" s="8">
        <v>0</v>
      </c>
      <c r="H3" s="63"/>
      <c r="I3" s="63"/>
      <c r="J3" s="33"/>
      <c r="K3" s="24"/>
      <c r="L3" s="23"/>
    </row>
    <row r="4" spans="1:15" hidden="1" x14ac:dyDescent="0.25">
      <c r="A4" s="9">
        <v>44287</v>
      </c>
      <c r="B4" s="6" t="s">
        <v>232</v>
      </c>
      <c r="C4" s="6" t="s">
        <v>241</v>
      </c>
      <c r="D4" s="7">
        <v>4294681</v>
      </c>
      <c r="E4" s="7" t="str">
        <f t="shared" ref="E4:E14" si="0">+IF(D4&lt;0,-D4,"0")</f>
        <v>0</v>
      </c>
      <c r="F4" s="7">
        <f t="shared" ref="F4:F14" si="1">+IF(D4&lt;0,"0",D4)</f>
        <v>4294681</v>
      </c>
      <c r="G4" s="7">
        <f>+F4-E4+G3</f>
        <v>4294681</v>
      </c>
      <c r="H4" s="35"/>
      <c r="I4" s="24"/>
      <c r="J4" s="24" t="s">
        <v>251</v>
      </c>
      <c r="K4" s="24" t="s">
        <v>252</v>
      </c>
      <c r="L4" s="24" t="s">
        <v>265</v>
      </c>
    </row>
    <row r="5" spans="1:15" hidden="1" x14ac:dyDescent="0.25">
      <c r="A5" s="9">
        <v>44287</v>
      </c>
      <c r="B5" s="6" t="s">
        <v>232</v>
      </c>
      <c r="C5" s="6" t="s">
        <v>241</v>
      </c>
      <c r="D5" s="7">
        <v>100000</v>
      </c>
      <c r="E5" s="7" t="str">
        <f t="shared" si="0"/>
        <v>0</v>
      </c>
      <c r="F5" s="7">
        <f t="shared" si="1"/>
        <v>100000</v>
      </c>
      <c r="G5" s="7">
        <f t="shared" ref="G5:G15" si="2">+F5-E5+G4</f>
        <v>4394681</v>
      </c>
      <c r="H5" s="35"/>
      <c r="I5" s="24"/>
      <c r="J5" s="24" t="s">
        <v>251</v>
      </c>
      <c r="K5" s="24" t="s">
        <v>252</v>
      </c>
      <c r="L5" s="24" t="s">
        <v>265</v>
      </c>
    </row>
    <row r="6" spans="1:15" hidden="1" x14ac:dyDescent="0.25">
      <c r="A6" s="9">
        <v>44287</v>
      </c>
      <c r="B6" s="6" t="s">
        <v>233</v>
      </c>
      <c r="C6" s="6" t="s">
        <v>242</v>
      </c>
      <c r="D6" s="7">
        <v>-734</v>
      </c>
      <c r="E6" s="7">
        <f t="shared" si="0"/>
        <v>734</v>
      </c>
      <c r="F6" s="7" t="str">
        <f t="shared" si="1"/>
        <v>0</v>
      </c>
      <c r="G6" s="7">
        <f t="shared" si="2"/>
        <v>4393947</v>
      </c>
      <c r="H6" s="64"/>
      <c r="I6" s="64"/>
      <c r="J6" s="24"/>
      <c r="K6" s="24" t="s">
        <v>256</v>
      </c>
      <c r="L6" s="24" t="s">
        <v>259</v>
      </c>
    </row>
    <row r="7" spans="1:15" hidden="1" x14ac:dyDescent="0.25">
      <c r="A7" s="9">
        <v>44287</v>
      </c>
      <c r="B7" s="6" t="s">
        <v>234</v>
      </c>
      <c r="C7" s="6" t="s">
        <v>95</v>
      </c>
      <c r="D7" s="7">
        <v>-30000</v>
      </c>
      <c r="E7" s="7">
        <f t="shared" si="0"/>
        <v>30000</v>
      </c>
      <c r="F7" s="7" t="str">
        <f t="shared" si="1"/>
        <v>0</v>
      </c>
      <c r="G7" s="7">
        <f t="shared" si="2"/>
        <v>4363947</v>
      </c>
      <c r="H7" s="64"/>
      <c r="I7" s="64"/>
      <c r="J7" s="24" t="s">
        <v>261</v>
      </c>
      <c r="K7" s="24" t="s">
        <v>257</v>
      </c>
      <c r="L7" s="24" t="s">
        <v>258</v>
      </c>
    </row>
    <row r="8" spans="1:15" hidden="1" x14ac:dyDescent="0.25">
      <c r="A8" s="9">
        <v>44287</v>
      </c>
      <c r="B8" s="6" t="s">
        <v>235</v>
      </c>
      <c r="C8" s="6" t="s">
        <v>76</v>
      </c>
      <c r="D8" s="7">
        <v>-65000</v>
      </c>
      <c r="E8" s="7">
        <f t="shared" si="0"/>
        <v>65000</v>
      </c>
      <c r="F8" s="7" t="str">
        <f t="shared" si="1"/>
        <v>0</v>
      </c>
      <c r="G8" s="7">
        <f t="shared" si="2"/>
        <v>4298947</v>
      </c>
      <c r="H8" s="64"/>
      <c r="I8" s="64"/>
      <c r="J8" s="24" t="s">
        <v>325</v>
      </c>
      <c r="K8" s="24" t="s">
        <v>260</v>
      </c>
      <c r="L8" s="24" t="s">
        <v>258</v>
      </c>
    </row>
    <row r="9" spans="1:15" hidden="1" x14ac:dyDescent="0.25">
      <c r="A9" s="9">
        <v>44287</v>
      </c>
      <c r="B9" s="6" t="s">
        <v>236</v>
      </c>
      <c r="C9" s="6" t="s">
        <v>243</v>
      </c>
      <c r="D9" s="7">
        <v>734</v>
      </c>
      <c r="E9" s="7" t="str">
        <f t="shared" si="0"/>
        <v>0</v>
      </c>
      <c r="F9" s="7">
        <f t="shared" si="1"/>
        <v>734</v>
      </c>
      <c r="G9" s="7">
        <f t="shared" si="2"/>
        <v>4299681</v>
      </c>
      <c r="H9" s="35"/>
      <c r="I9" s="24"/>
      <c r="J9" s="24"/>
      <c r="K9" s="24" t="s">
        <v>256</v>
      </c>
      <c r="L9" s="24" t="s">
        <v>259</v>
      </c>
    </row>
    <row r="10" spans="1:15" hidden="1" x14ac:dyDescent="0.25">
      <c r="A10" s="9">
        <v>44287</v>
      </c>
      <c r="B10" s="6" t="s">
        <v>237</v>
      </c>
      <c r="C10" s="6" t="s">
        <v>244</v>
      </c>
      <c r="D10" s="7">
        <v>-7910</v>
      </c>
      <c r="E10" s="7">
        <f t="shared" si="0"/>
        <v>7910</v>
      </c>
      <c r="F10" s="7" t="str">
        <f t="shared" si="1"/>
        <v>0</v>
      </c>
      <c r="G10" s="7">
        <f t="shared" si="2"/>
        <v>4291771</v>
      </c>
      <c r="H10" s="64"/>
      <c r="I10" s="64"/>
      <c r="J10" s="24"/>
      <c r="K10" s="24" t="s">
        <v>262</v>
      </c>
      <c r="L10" s="24" t="s">
        <v>263</v>
      </c>
    </row>
    <row r="11" spans="1:15" hidden="1" x14ac:dyDescent="0.25">
      <c r="A11" s="27">
        <v>44287</v>
      </c>
      <c r="B11" s="28" t="s">
        <v>238</v>
      </c>
      <c r="C11" s="28" t="s">
        <v>245</v>
      </c>
      <c r="D11" s="29">
        <v>250000</v>
      </c>
      <c r="E11" s="29" t="str">
        <f t="shared" si="0"/>
        <v>0</v>
      </c>
      <c r="F11" s="29">
        <f t="shared" si="1"/>
        <v>250000</v>
      </c>
      <c r="G11" s="29">
        <f t="shared" si="2"/>
        <v>4541771</v>
      </c>
      <c r="H11" s="36"/>
      <c r="I11" s="30" t="s">
        <v>248</v>
      </c>
      <c r="J11" s="30" t="s">
        <v>266</v>
      </c>
      <c r="K11" s="30" t="s">
        <v>264</v>
      </c>
      <c r="L11" s="30" t="s">
        <v>265</v>
      </c>
      <c r="M11" s="31" t="s">
        <v>269</v>
      </c>
    </row>
    <row r="12" spans="1:15" hidden="1" x14ac:dyDescent="0.25">
      <c r="A12" s="14">
        <v>44287</v>
      </c>
      <c r="B12" s="15" t="s">
        <v>238</v>
      </c>
      <c r="C12" s="15" t="s">
        <v>95</v>
      </c>
      <c r="D12" s="16">
        <v>-65000</v>
      </c>
      <c r="E12" s="16">
        <f t="shared" si="0"/>
        <v>65000</v>
      </c>
      <c r="F12" s="16" t="str">
        <f t="shared" si="1"/>
        <v>0</v>
      </c>
      <c r="G12" s="16">
        <f t="shared" si="2"/>
        <v>4476771</v>
      </c>
      <c r="H12" s="58" t="s">
        <v>667</v>
      </c>
      <c r="I12" s="58" t="s">
        <v>668</v>
      </c>
      <c r="J12" s="25" t="s">
        <v>261</v>
      </c>
      <c r="K12" s="25" t="s">
        <v>257</v>
      </c>
      <c r="L12" s="25" t="s">
        <v>258</v>
      </c>
    </row>
    <row r="13" spans="1:15" hidden="1" x14ac:dyDescent="0.25">
      <c r="A13" s="9">
        <v>44287</v>
      </c>
      <c r="B13" s="6" t="s">
        <v>239</v>
      </c>
      <c r="C13" s="6" t="s">
        <v>245</v>
      </c>
      <c r="D13" s="7">
        <v>250000</v>
      </c>
      <c r="E13" s="7" t="str">
        <f t="shared" si="0"/>
        <v>0</v>
      </c>
      <c r="F13" s="7">
        <f t="shared" si="1"/>
        <v>250000</v>
      </c>
      <c r="G13" s="7">
        <f t="shared" si="2"/>
        <v>4726771</v>
      </c>
      <c r="H13" s="35"/>
      <c r="I13" s="24"/>
      <c r="J13" s="24" t="s">
        <v>266</v>
      </c>
      <c r="K13" s="24" t="s">
        <v>264</v>
      </c>
      <c r="L13" s="24" t="s">
        <v>265</v>
      </c>
      <c r="M13" s="31" t="s">
        <v>269</v>
      </c>
    </row>
    <row r="14" spans="1:15" hidden="1" x14ac:dyDescent="0.25">
      <c r="A14" s="9">
        <v>44287</v>
      </c>
      <c r="B14" s="6" t="s">
        <v>240</v>
      </c>
      <c r="C14" s="6" t="s">
        <v>246</v>
      </c>
      <c r="D14" s="7">
        <v>-1500</v>
      </c>
      <c r="E14" s="7">
        <f t="shared" si="0"/>
        <v>1500</v>
      </c>
      <c r="F14" s="7" t="str">
        <f t="shared" si="1"/>
        <v>0</v>
      </c>
      <c r="G14" s="7">
        <f t="shared" si="2"/>
        <v>4725271</v>
      </c>
      <c r="H14" s="64"/>
      <c r="I14" s="64"/>
      <c r="J14" s="24"/>
      <c r="K14" s="24" t="s">
        <v>319</v>
      </c>
      <c r="L14" s="24" t="s">
        <v>258</v>
      </c>
      <c r="M14" s="4">
        <v>44316</v>
      </c>
      <c r="N14" s="2">
        <v>4725271</v>
      </c>
      <c r="O14" s="10">
        <f>+N14-G14</f>
        <v>0</v>
      </c>
    </row>
    <row r="15" spans="1:15" hidden="1" x14ac:dyDescent="0.25">
      <c r="A15" s="9">
        <v>44317</v>
      </c>
      <c r="B15" s="6" t="s">
        <v>49</v>
      </c>
      <c r="C15" s="6" t="s">
        <v>60</v>
      </c>
      <c r="D15" s="7">
        <v>-10970</v>
      </c>
      <c r="E15" s="7">
        <f>+IF(D15&lt;0,-D15,"0")</f>
        <v>10970</v>
      </c>
      <c r="F15" s="7" t="str">
        <f>+IF(D15&lt;0,"0",D15)</f>
        <v>0</v>
      </c>
      <c r="G15" s="7">
        <f t="shared" si="2"/>
        <v>4714301</v>
      </c>
      <c r="H15" s="64"/>
      <c r="I15" s="64"/>
      <c r="J15" s="24"/>
      <c r="K15" s="24" t="s">
        <v>256</v>
      </c>
      <c r="L15" s="24" t="s">
        <v>259</v>
      </c>
    </row>
    <row r="16" spans="1:15" hidden="1" x14ac:dyDescent="0.25">
      <c r="A16" s="14">
        <v>44317</v>
      </c>
      <c r="B16" s="15" t="s">
        <v>50</v>
      </c>
      <c r="C16" s="15" t="s">
        <v>61</v>
      </c>
      <c r="D16" s="16">
        <v>-37937</v>
      </c>
      <c r="E16" s="16">
        <f t="shared" ref="E16:E79" si="3">+IF(D16&lt;0,-D16,"0")</f>
        <v>37937</v>
      </c>
      <c r="F16" s="16" t="str">
        <f t="shared" ref="F16:F39" si="4">+IF(D16&lt;0,"0",D16)</f>
        <v>0</v>
      </c>
      <c r="G16" s="16">
        <f t="shared" ref="G16:G39" si="5">+F16-E16+G15</f>
        <v>4676364</v>
      </c>
      <c r="H16" s="58" t="s">
        <v>667</v>
      </c>
      <c r="I16" s="58" t="s">
        <v>500</v>
      </c>
      <c r="J16" s="25" t="s">
        <v>441</v>
      </c>
      <c r="K16" s="25" t="s">
        <v>301</v>
      </c>
      <c r="L16" s="25" t="s">
        <v>302</v>
      </c>
    </row>
    <row r="17" spans="1:12" hidden="1" x14ac:dyDescent="0.25">
      <c r="A17" s="14">
        <v>44317</v>
      </c>
      <c r="B17" s="15" t="s">
        <v>50</v>
      </c>
      <c r="C17" s="15" t="s">
        <v>62</v>
      </c>
      <c r="D17" s="16">
        <v>-34000</v>
      </c>
      <c r="E17" s="16">
        <f t="shared" si="3"/>
        <v>34000</v>
      </c>
      <c r="F17" s="16" t="str">
        <f t="shared" si="4"/>
        <v>0</v>
      </c>
      <c r="G17" s="16">
        <f t="shared" si="5"/>
        <v>4642364</v>
      </c>
      <c r="H17" s="58" t="s">
        <v>667</v>
      </c>
      <c r="I17" s="58" t="s">
        <v>512</v>
      </c>
      <c r="J17" s="25"/>
      <c r="K17" s="25" t="s">
        <v>308</v>
      </c>
      <c r="L17" s="25" t="s">
        <v>300</v>
      </c>
    </row>
    <row r="18" spans="1:12" hidden="1" x14ac:dyDescent="0.25">
      <c r="A18" s="9">
        <v>44317</v>
      </c>
      <c r="B18" s="6" t="s">
        <v>51</v>
      </c>
      <c r="C18" s="6" t="s">
        <v>63</v>
      </c>
      <c r="D18" s="7">
        <v>-100000</v>
      </c>
      <c r="E18" s="7">
        <f t="shared" si="3"/>
        <v>100000</v>
      </c>
      <c r="F18" s="7" t="str">
        <f t="shared" si="4"/>
        <v>0</v>
      </c>
      <c r="G18" s="7">
        <f t="shared" si="5"/>
        <v>4542364</v>
      </c>
      <c r="H18" s="64"/>
      <c r="I18" s="64"/>
      <c r="J18" s="24"/>
      <c r="K18" s="24" t="s">
        <v>320</v>
      </c>
      <c r="L18" s="24" t="s">
        <v>300</v>
      </c>
    </row>
    <row r="19" spans="1:12" hidden="1" x14ac:dyDescent="0.25">
      <c r="A19" s="14">
        <v>44317</v>
      </c>
      <c r="B19" s="15" t="s">
        <v>51</v>
      </c>
      <c r="C19" s="15" t="s">
        <v>64</v>
      </c>
      <c r="D19" s="16">
        <v>-24502</v>
      </c>
      <c r="E19" s="16">
        <f t="shared" si="3"/>
        <v>24502</v>
      </c>
      <c r="F19" s="16" t="str">
        <f t="shared" si="4"/>
        <v>0</v>
      </c>
      <c r="G19" s="16">
        <f t="shared" si="5"/>
        <v>4517862</v>
      </c>
      <c r="H19" s="58" t="s">
        <v>667</v>
      </c>
      <c r="I19" s="58" t="s">
        <v>489</v>
      </c>
      <c r="J19" s="25" t="s">
        <v>441</v>
      </c>
      <c r="K19" s="25" t="s">
        <v>301</v>
      </c>
      <c r="L19" s="25" t="s">
        <v>302</v>
      </c>
    </row>
    <row r="20" spans="1:12" hidden="1" x14ac:dyDescent="0.25">
      <c r="A20" s="14">
        <v>44317</v>
      </c>
      <c r="B20" s="15" t="s">
        <v>51</v>
      </c>
      <c r="C20" s="15" t="s">
        <v>65</v>
      </c>
      <c r="D20" s="16">
        <v>-8350</v>
      </c>
      <c r="E20" s="16">
        <f t="shared" si="3"/>
        <v>8350</v>
      </c>
      <c r="F20" s="16" t="str">
        <f t="shared" si="4"/>
        <v>0</v>
      </c>
      <c r="G20" s="16">
        <f t="shared" si="5"/>
        <v>4509512</v>
      </c>
      <c r="H20" s="58" t="s">
        <v>667</v>
      </c>
      <c r="I20" s="58" t="s">
        <v>485</v>
      </c>
      <c r="J20" s="25" t="s">
        <v>441</v>
      </c>
      <c r="K20" s="25" t="s">
        <v>301</v>
      </c>
      <c r="L20" s="25" t="s">
        <v>304</v>
      </c>
    </row>
    <row r="21" spans="1:12" hidden="1" x14ac:dyDescent="0.25">
      <c r="A21" s="9">
        <v>44317</v>
      </c>
      <c r="B21" s="6" t="s">
        <v>52</v>
      </c>
      <c r="C21" s="6" t="s">
        <v>66</v>
      </c>
      <c r="D21" s="7">
        <v>250000</v>
      </c>
      <c r="E21" s="7" t="str">
        <f t="shared" si="3"/>
        <v>0</v>
      </c>
      <c r="F21" s="7">
        <f t="shared" si="4"/>
        <v>250000</v>
      </c>
      <c r="G21" s="7">
        <f t="shared" si="5"/>
        <v>4759512</v>
      </c>
      <c r="H21" s="35"/>
      <c r="I21" s="24"/>
      <c r="J21" s="24" t="s">
        <v>278</v>
      </c>
      <c r="K21" s="24" t="s">
        <v>279</v>
      </c>
      <c r="L21" s="24" t="s">
        <v>265</v>
      </c>
    </row>
    <row r="22" spans="1:12" hidden="1" x14ac:dyDescent="0.25">
      <c r="A22" s="9">
        <v>44317</v>
      </c>
      <c r="B22" s="6" t="s">
        <v>52</v>
      </c>
      <c r="C22" s="6" t="s">
        <v>67</v>
      </c>
      <c r="D22" s="7">
        <v>-140000</v>
      </c>
      <c r="E22" s="7">
        <f t="shared" si="3"/>
        <v>140000</v>
      </c>
      <c r="F22" s="7" t="str">
        <f t="shared" si="4"/>
        <v>0</v>
      </c>
      <c r="G22" s="7">
        <f t="shared" si="5"/>
        <v>4619512</v>
      </c>
      <c r="H22" s="64"/>
      <c r="I22" s="64"/>
      <c r="J22" s="24" t="s">
        <v>346</v>
      </c>
      <c r="K22" s="24" t="s">
        <v>280</v>
      </c>
      <c r="L22" s="24" t="s">
        <v>258</v>
      </c>
    </row>
    <row r="23" spans="1:12" hidden="1" x14ac:dyDescent="0.25">
      <c r="A23" s="9">
        <v>44317</v>
      </c>
      <c r="B23" s="6" t="s">
        <v>52</v>
      </c>
      <c r="C23" s="6" t="s">
        <v>68</v>
      </c>
      <c r="D23" s="7">
        <v>-36000</v>
      </c>
      <c r="E23" s="7">
        <f t="shared" si="3"/>
        <v>36000</v>
      </c>
      <c r="F23" s="7" t="str">
        <f t="shared" si="4"/>
        <v>0</v>
      </c>
      <c r="G23" s="7">
        <f t="shared" si="5"/>
        <v>4583512</v>
      </c>
      <c r="H23" s="64"/>
      <c r="I23" s="64"/>
      <c r="J23" s="24"/>
      <c r="K23" s="24" t="s">
        <v>301</v>
      </c>
      <c r="L23" s="24" t="s">
        <v>302</v>
      </c>
    </row>
    <row r="24" spans="1:12" hidden="1" x14ac:dyDescent="0.25">
      <c r="A24" s="14">
        <v>44317</v>
      </c>
      <c r="B24" s="15" t="s">
        <v>52</v>
      </c>
      <c r="C24" s="15" t="s">
        <v>69</v>
      </c>
      <c r="D24" s="16">
        <v>-31972</v>
      </c>
      <c r="E24" s="16">
        <f t="shared" si="3"/>
        <v>31972</v>
      </c>
      <c r="F24" s="16" t="str">
        <f t="shared" si="4"/>
        <v>0</v>
      </c>
      <c r="G24" s="16">
        <f t="shared" si="5"/>
        <v>4551540</v>
      </c>
      <c r="H24" s="58" t="s">
        <v>667</v>
      </c>
      <c r="I24" s="58" t="s">
        <v>497</v>
      </c>
      <c r="J24" s="25" t="s">
        <v>441</v>
      </c>
      <c r="K24" s="25" t="s">
        <v>301</v>
      </c>
      <c r="L24" s="25" t="s">
        <v>302</v>
      </c>
    </row>
    <row r="25" spans="1:12" hidden="1" x14ac:dyDescent="0.25">
      <c r="A25" s="14">
        <v>44317</v>
      </c>
      <c r="B25" s="15" t="s">
        <v>52</v>
      </c>
      <c r="C25" s="15" t="s">
        <v>70</v>
      </c>
      <c r="D25" s="16">
        <v>-30000</v>
      </c>
      <c r="E25" s="16">
        <f t="shared" si="3"/>
        <v>30000</v>
      </c>
      <c r="F25" s="16" t="str">
        <f t="shared" si="4"/>
        <v>0</v>
      </c>
      <c r="G25" s="16">
        <f t="shared" si="5"/>
        <v>4521540</v>
      </c>
      <c r="H25" s="58" t="s">
        <v>647</v>
      </c>
      <c r="I25" s="59" t="s">
        <v>651</v>
      </c>
      <c r="J25" s="25" t="s">
        <v>367</v>
      </c>
      <c r="K25" s="25" t="s">
        <v>366</v>
      </c>
      <c r="L25" s="25" t="s">
        <v>304</v>
      </c>
    </row>
    <row r="26" spans="1:12" hidden="1" x14ac:dyDescent="0.25">
      <c r="A26" s="14">
        <v>44317</v>
      </c>
      <c r="B26" s="15" t="s">
        <v>52</v>
      </c>
      <c r="C26" s="15" t="s">
        <v>71</v>
      </c>
      <c r="D26" s="16">
        <v>-4400</v>
      </c>
      <c r="E26" s="16">
        <f t="shared" si="3"/>
        <v>4400</v>
      </c>
      <c r="F26" s="16" t="str">
        <f t="shared" si="4"/>
        <v>0</v>
      </c>
      <c r="G26" s="16">
        <f t="shared" si="5"/>
        <v>4517140</v>
      </c>
      <c r="H26" s="58" t="s">
        <v>667</v>
      </c>
      <c r="I26" s="58" t="s">
        <v>480</v>
      </c>
      <c r="J26" s="25" t="s">
        <v>441</v>
      </c>
      <c r="K26" s="25" t="s">
        <v>301</v>
      </c>
      <c r="L26" s="25" t="s">
        <v>304</v>
      </c>
    </row>
    <row r="27" spans="1:12" hidden="1" x14ac:dyDescent="0.25">
      <c r="A27" s="9">
        <v>44317</v>
      </c>
      <c r="B27" s="6" t="s">
        <v>53</v>
      </c>
      <c r="C27" s="6" t="s">
        <v>66</v>
      </c>
      <c r="D27" s="7">
        <v>250000</v>
      </c>
      <c r="E27" s="7" t="str">
        <f t="shared" si="3"/>
        <v>0</v>
      </c>
      <c r="F27" s="7">
        <f t="shared" si="4"/>
        <v>250000</v>
      </c>
      <c r="G27" s="7">
        <f t="shared" si="5"/>
        <v>4767140</v>
      </c>
      <c r="H27" s="35"/>
      <c r="I27" s="24"/>
      <c r="J27" s="24" t="s">
        <v>278</v>
      </c>
      <c r="K27" s="24" t="s">
        <v>279</v>
      </c>
      <c r="L27" s="24" t="s">
        <v>265</v>
      </c>
    </row>
    <row r="28" spans="1:12" hidden="1" x14ac:dyDescent="0.25">
      <c r="A28" s="14">
        <v>44317</v>
      </c>
      <c r="B28" s="15" t="s">
        <v>53</v>
      </c>
      <c r="C28" s="15" t="s">
        <v>72</v>
      </c>
      <c r="D28" s="16">
        <v>-88000</v>
      </c>
      <c r="E28" s="16">
        <f t="shared" si="3"/>
        <v>88000</v>
      </c>
      <c r="F28" s="16" t="str">
        <f t="shared" si="4"/>
        <v>0</v>
      </c>
      <c r="G28" s="16">
        <f t="shared" si="5"/>
        <v>4679140</v>
      </c>
      <c r="H28" s="58" t="s">
        <v>647</v>
      </c>
      <c r="I28" s="59" t="s">
        <v>651</v>
      </c>
      <c r="J28" s="25" t="s">
        <v>367</v>
      </c>
      <c r="K28" s="25" t="s">
        <v>366</v>
      </c>
      <c r="L28" s="25" t="s">
        <v>304</v>
      </c>
    </row>
    <row r="29" spans="1:12" hidden="1" x14ac:dyDescent="0.25">
      <c r="A29" s="14">
        <v>44317</v>
      </c>
      <c r="B29" s="15" t="s">
        <v>53</v>
      </c>
      <c r="C29" s="15" t="s">
        <v>72</v>
      </c>
      <c r="D29" s="16">
        <v>-46750</v>
      </c>
      <c r="E29" s="16">
        <f t="shared" si="3"/>
        <v>46750</v>
      </c>
      <c r="F29" s="16" t="str">
        <f t="shared" si="4"/>
        <v>0</v>
      </c>
      <c r="G29" s="16">
        <f t="shared" si="5"/>
        <v>4632390</v>
      </c>
      <c r="H29" s="58" t="s">
        <v>647</v>
      </c>
      <c r="I29" s="59" t="s">
        <v>651</v>
      </c>
      <c r="J29" s="25" t="s">
        <v>367</v>
      </c>
      <c r="K29" s="25" t="s">
        <v>366</v>
      </c>
      <c r="L29" s="25" t="s">
        <v>304</v>
      </c>
    </row>
    <row r="30" spans="1:12" hidden="1" x14ac:dyDescent="0.25">
      <c r="A30" s="14">
        <v>44317</v>
      </c>
      <c r="B30" s="15" t="s">
        <v>54</v>
      </c>
      <c r="C30" s="15" t="s">
        <v>73</v>
      </c>
      <c r="D30" s="16">
        <v>-40000</v>
      </c>
      <c r="E30" s="16">
        <f t="shared" si="3"/>
        <v>40000</v>
      </c>
      <c r="F30" s="16" t="str">
        <f t="shared" si="4"/>
        <v>0</v>
      </c>
      <c r="G30" s="16">
        <f t="shared" si="5"/>
        <v>4592390</v>
      </c>
      <c r="H30" s="58" t="s">
        <v>667</v>
      </c>
      <c r="I30" s="58" t="s">
        <v>505</v>
      </c>
      <c r="J30" s="25" t="s">
        <v>506</v>
      </c>
      <c r="K30" s="25" t="s">
        <v>507</v>
      </c>
      <c r="L30" s="25" t="s">
        <v>302</v>
      </c>
    </row>
    <row r="31" spans="1:12" hidden="1" x14ac:dyDescent="0.25">
      <c r="A31" s="14">
        <v>44317</v>
      </c>
      <c r="B31" s="15" t="s">
        <v>54</v>
      </c>
      <c r="C31" s="15" t="s">
        <v>74</v>
      </c>
      <c r="D31" s="16">
        <v>-32006</v>
      </c>
      <c r="E31" s="16">
        <f t="shared" si="3"/>
        <v>32006</v>
      </c>
      <c r="F31" s="16" t="str">
        <f t="shared" si="4"/>
        <v>0</v>
      </c>
      <c r="G31" s="16">
        <f t="shared" si="5"/>
        <v>4560384</v>
      </c>
      <c r="H31" s="58" t="s">
        <v>667</v>
      </c>
      <c r="I31" s="58" t="s">
        <v>489</v>
      </c>
      <c r="J31" s="25" t="s">
        <v>441</v>
      </c>
      <c r="K31" s="25" t="s">
        <v>301</v>
      </c>
      <c r="L31" s="25" t="s">
        <v>302</v>
      </c>
    </row>
    <row r="32" spans="1:12" hidden="1" x14ac:dyDescent="0.25">
      <c r="A32" s="9">
        <v>44317</v>
      </c>
      <c r="B32" s="6" t="s">
        <v>54</v>
      </c>
      <c r="C32" s="6" t="s">
        <v>75</v>
      </c>
      <c r="D32" s="7">
        <v>-18700</v>
      </c>
      <c r="E32" s="7">
        <f t="shared" si="3"/>
        <v>18700</v>
      </c>
      <c r="F32" s="7" t="str">
        <f t="shared" si="4"/>
        <v>0</v>
      </c>
      <c r="G32" s="7">
        <f t="shared" si="5"/>
        <v>4541684</v>
      </c>
      <c r="H32" s="64"/>
      <c r="I32" s="64"/>
      <c r="J32" s="24"/>
      <c r="K32" s="24" t="s">
        <v>316</v>
      </c>
      <c r="L32" s="24" t="s">
        <v>304</v>
      </c>
    </row>
    <row r="33" spans="1:15" hidden="1" x14ac:dyDescent="0.25">
      <c r="A33" s="14">
        <v>44317</v>
      </c>
      <c r="B33" s="15" t="s">
        <v>55</v>
      </c>
      <c r="C33" s="15" t="s">
        <v>76</v>
      </c>
      <c r="D33" s="16">
        <v>-65000</v>
      </c>
      <c r="E33" s="16">
        <f t="shared" si="3"/>
        <v>65000</v>
      </c>
      <c r="F33" s="16" t="str">
        <f t="shared" si="4"/>
        <v>0</v>
      </c>
      <c r="G33" s="16">
        <f t="shared" si="5"/>
        <v>4476684</v>
      </c>
      <c r="H33" s="58" t="s">
        <v>667</v>
      </c>
      <c r="I33" s="58" t="s">
        <v>669</v>
      </c>
      <c r="J33" s="25" t="s">
        <v>325</v>
      </c>
      <c r="K33" s="25" t="s">
        <v>260</v>
      </c>
      <c r="L33" s="25" t="s">
        <v>258</v>
      </c>
    </row>
    <row r="34" spans="1:15" hidden="1" x14ac:dyDescent="0.25">
      <c r="A34" s="14">
        <v>44317</v>
      </c>
      <c r="B34" s="15" t="s">
        <v>55</v>
      </c>
      <c r="C34" s="15" t="s">
        <v>77</v>
      </c>
      <c r="D34" s="16">
        <v>-32005</v>
      </c>
      <c r="E34" s="16">
        <f t="shared" si="3"/>
        <v>32005</v>
      </c>
      <c r="F34" s="16" t="str">
        <f t="shared" si="4"/>
        <v>0</v>
      </c>
      <c r="G34" s="16">
        <f t="shared" si="5"/>
        <v>4444679</v>
      </c>
      <c r="H34" s="58" t="s">
        <v>667</v>
      </c>
      <c r="I34" s="58" t="s">
        <v>439</v>
      </c>
      <c r="J34" s="25" t="s">
        <v>441</v>
      </c>
      <c r="K34" s="25" t="s">
        <v>301</v>
      </c>
      <c r="L34" s="25" t="s">
        <v>302</v>
      </c>
    </row>
    <row r="35" spans="1:15" hidden="1" x14ac:dyDescent="0.25">
      <c r="A35" s="9">
        <v>44317</v>
      </c>
      <c r="B35" s="6" t="s">
        <v>55</v>
      </c>
      <c r="C35" s="6" t="s">
        <v>78</v>
      </c>
      <c r="D35" s="7">
        <v>-17600</v>
      </c>
      <c r="E35" s="7">
        <f t="shared" si="3"/>
        <v>17600</v>
      </c>
      <c r="F35" s="7" t="str">
        <f t="shared" si="4"/>
        <v>0</v>
      </c>
      <c r="G35" s="7">
        <f t="shared" si="5"/>
        <v>4427079</v>
      </c>
      <c r="H35" s="64"/>
      <c r="I35" s="64"/>
      <c r="J35" s="24"/>
      <c r="K35" s="24" t="s">
        <v>303</v>
      </c>
      <c r="L35" s="24" t="s">
        <v>304</v>
      </c>
    </row>
    <row r="36" spans="1:15" hidden="1" x14ac:dyDescent="0.25">
      <c r="A36" s="14">
        <v>44317</v>
      </c>
      <c r="B36" s="15" t="s">
        <v>56</v>
      </c>
      <c r="C36" s="15" t="s">
        <v>79</v>
      </c>
      <c r="D36" s="16">
        <v>-34032</v>
      </c>
      <c r="E36" s="16">
        <f t="shared" si="3"/>
        <v>34032</v>
      </c>
      <c r="F36" s="16" t="str">
        <f t="shared" si="4"/>
        <v>0</v>
      </c>
      <c r="G36" s="16">
        <f t="shared" si="5"/>
        <v>4393047</v>
      </c>
      <c r="H36" s="58" t="s">
        <v>667</v>
      </c>
      <c r="I36" s="58" t="s">
        <v>464</v>
      </c>
      <c r="J36" s="25" t="s">
        <v>465</v>
      </c>
      <c r="K36" s="25" t="s">
        <v>466</v>
      </c>
      <c r="L36" s="25" t="s">
        <v>302</v>
      </c>
    </row>
    <row r="37" spans="1:15" hidden="1" x14ac:dyDescent="0.25">
      <c r="A37" s="9">
        <v>44317</v>
      </c>
      <c r="B37" s="6" t="s">
        <v>57</v>
      </c>
      <c r="C37" s="6" t="s">
        <v>76</v>
      </c>
      <c r="D37" s="7">
        <v>-59000</v>
      </c>
      <c r="E37" s="7">
        <f t="shared" si="3"/>
        <v>59000</v>
      </c>
      <c r="F37" s="7" t="str">
        <f t="shared" si="4"/>
        <v>0</v>
      </c>
      <c r="G37" s="7">
        <f t="shared" si="5"/>
        <v>4334047</v>
      </c>
      <c r="H37" s="64"/>
      <c r="I37" s="64"/>
      <c r="J37" s="24" t="s">
        <v>325</v>
      </c>
      <c r="K37" s="24" t="s">
        <v>260</v>
      </c>
      <c r="L37" s="24" t="s">
        <v>258</v>
      </c>
    </row>
    <row r="38" spans="1:15" hidden="1" x14ac:dyDescent="0.25">
      <c r="A38" s="9">
        <v>44317</v>
      </c>
      <c r="B38" s="6" t="s">
        <v>57</v>
      </c>
      <c r="C38" s="6" t="s">
        <v>80</v>
      </c>
      <c r="D38" s="7">
        <v>-18000</v>
      </c>
      <c r="E38" s="7">
        <f t="shared" si="3"/>
        <v>18000</v>
      </c>
      <c r="F38" s="7" t="str">
        <f t="shared" si="4"/>
        <v>0</v>
      </c>
      <c r="G38" s="7">
        <f t="shared" si="5"/>
        <v>4316047</v>
      </c>
      <c r="H38" s="64"/>
      <c r="I38" s="64"/>
      <c r="J38" s="24" t="s">
        <v>324</v>
      </c>
      <c r="K38" s="24" t="s">
        <v>323</v>
      </c>
      <c r="L38" s="24"/>
    </row>
    <row r="39" spans="1:15" hidden="1" x14ac:dyDescent="0.25">
      <c r="A39" s="9">
        <v>44317</v>
      </c>
      <c r="B39" s="6" t="s">
        <v>58</v>
      </c>
      <c r="C39" s="6" t="s">
        <v>81</v>
      </c>
      <c r="D39" s="7">
        <v>-29820</v>
      </c>
      <c r="E39" s="7">
        <f t="shared" si="3"/>
        <v>29820</v>
      </c>
      <c r="F39" s="7" t="str">
        <f t="shared" si="4"/>
        <v>0</v>
      </c>
      <c r="G39" s="7">
        <f t="shared" si="5"/>
        <v>4286227</v>
      </c>
      <c r="H39" s="64"/>
      <c r="I39" s="64"/>
      <c r="J39" s="24" t="s">
        <v>253</v>
      </c>
      <c r="K39" s="24" t="s">
        <v>254</v>
      </c>
      <c r="L39" s="24"/>
      <c r="M39" s="4">
        <v>44342</v>
      </c>
      <c r="N39" s="2">
        <v>4286227</v>
      </c>
      <c r="O39" s="2">
        <f>+G39-N39</f>
        <v>0</v>
      </c>
    </row>
    <row r="40" spans="1:15" hidden="1" x14ac:dyDescent="0.25">
      <c r="A40" s="9">
        <v>44348</v>
      </c>
      <c r="B40" s="6" t="s">
        <v>102</v>
      </c>
      <c r="C40" s="6" t="s">
        <v>87</v>
      </c>
      <c r="D40" s="7">
        <v>-101464</v>
      </c>
      <c r="E40" s="7">
        <f t="shared" si="3"/>
        <v>101464</v>
      </c>
      <c r="F40" s="7" t="str">
        <f t="shared" ref="F40:F60" si="6">+IF(D40&lt;0,"0",D40)</f>
        <v>0</v>
      </c>
      <c r="G40" s="7">
        <f t="shared" ref="G40:G60" si="7">+F40-E40+G39</f>
        <v>4184763</v>
      </c>
      <c r="H40" s="64"/>
      <c r="I40" s="64"/>
      <c r="J40" s="24" t="s">
        <v>329</v>
      </c>
      <c r="K40" s="24" t="s">
        <v>330</v>
      </c>
      <c r="L40" s="24" t="s">
        <v>705</v>
      </c>
    </row>
    <row r="41" spans="1:15" hidden="1" x14ac:dyDescent="0.25">
      <c r="A41" s="14">
        <v>44348</v>
      </c>
      <c r="B41" s="15" t="s">
        <v>103</v>
      </c>
      <c r="C41" s="15" t="s">
        <v>88</v>
      </c>
      <c r="D41" s="16">
        <v>-88506</v>
      </c>
      <c r="E41" s="16">
        <f t="shared" si="3"/>
        <v>88506</v>
      </c>
      <c r="F41" s="16" t="str">
        <f t="shared" si="6"/>
        <v>0</v>
      </c>
      <c r="G41" s="16">
        <f t="shared" si="7"/>
        <v>4096257</v>
      </c>
      <c r="H41" s="58" t="s">
        <v>647</v>
      </c>
      <c r="I41" s="59" t="s">
        <v>670</v>
      </c>
      <c r="J41" s="25" t="s">
        <v>361</v>
      </c>
      <c r="K41" s="25" t="s">
        <v>360</v>
      </c>
      <c r="L41" s="25" t="s">
        <v>359</v>
      </c>
    </row>
    <row r="42" spans="1:15" hidden="1" x14ac:dyDescent="0.25">
      <c r="A42" s="14">
        <v>44348</v>
      </c>
      <c r="B42" s="15" t="s">
        <v>103</v>
      </c>
      <c r="C42" s="15" t="s">
        <v>89</v>
      </c>
      <c r="D42" s="16">
        <v>-65000</v>
      </c>
      <c r="E42" s="16">
        <f t="shared" si="3"/>
        <v>65000</v>
      </c>
      <c r="F42" s="16" t="str">
        <f t="shared" si="6"/>
        <v>0</v>
      </c>
      <c r="G42" s="16">
        <f t="shared" si="7"/>
        <v>4031257</v>
      </c>
      <c r="H42" s="58" t="s">
        <v>667</v>
      </c>
      <c r="I42" s="58" t="s">
        <v>517</v>
      </c>
      <c r="J42" s="25" t="s">
        <v>345</v>
      </c>
      <c r="K42" s="25" t="s">
        <v>279</v>
      </c>
      <c r="L42" s="25"/>
    </row>
    <row r="43" spans="1:15" hidden="1" x14ac:dyDescent="0.25">
      <c r="A43" s="9">
        <v>44348</v>
      </c>
      <c r="B43" s="6" t="s">
        <v>104</v>
      </c>
      <c r="C43" s="6" t="s">
        <v>90</v>
      </c>
      <c r="D43" s="7">
        <v>250000</v>
      </c>
      <c r="E43" s="7" t="str">
        <f t="shared" si="3"/>
        <v>0</v>
      </c>
      <c r="F43" s="7">
        <f t="shared" si="6"/>
        <v>250000</v>
      </c>
      <c r="G43" s="7">
        <f t="shared" si="7"/>
        <v>4281257</v>
      </c>
      <c r="H43" s="35"/>
      <c r="I43" s="24"/>
      <c r="J43" s="24" t="s">
        <v>275</v>
      </c>
      <c r="K43" s="24" t="s">
        <v>274</v>
      </c>
      <c r="L43" s="24" t="s">
        <v>265</v>
      </c>
    </row>
    <row r="44" spans="1:15" hidden="1" x14ac:dyDescent="0.25">
      <c r="A44" s="9">
        <v>44348</v>
      </c>
      <c r="B44" s="6" t="s">
        <v>104</v>
      </c>
      <c r="C44" s="6" t="s">
        <v>90</v>
      </c>
      <c r="D44" s="7">
        <v>250000</v>
      </c>
      <c r="E44" s="7" t="str">
        <f t="shared" si="3"/>
        <v>0</v>
      </c>
      <c r="F44" s="7">
        <f t="shared" si="6"/>
        <v>250000</v>
      </c>
      <c r="G44" s="7">
        <f t="shared" si="7"/>
        <v>4531257</v>
      </c>
      <c r="H44" s="35"/>
      <c r="I44" s="24"/>
      <c r="J44" s="24" t="s">
        <v>275</v>
      </c>
      <c r="K44" s="24" t="s">
        <v>274</v>
      </c>
      <c r="L44" s="24" t="s">
        <v>265</v>
      </c>
    </row>
    <row r="45" spans="1:15" hidden="1" x14ac:dyDescent="0.25">
      <c r="A45" s="14">
        <v>44348</v>
      </c>
      <c r="B45" s="15" t="s">
        <v>104</v>
      </c>
      <c r="C45" s="15" t="s">
        <v>91</v>
      </c>
      <c r="D45" s="16">
        <v>-107264</v>
      </c>
      <c r="E45" s="16">
        <f t="shared" si="3"/>
        <v>107264</v>
      </c>
      <c r="F45" s="16" t="str">
        <f t="shared" si="6"/>
        <v>0</v>
      </c>
      <c r="G45" s="16">
        <f t="shared" si="7"/>
        <v>4423993</v>
      </c>
      <c r="H45" s="58" t="s">
        <v>667</v>
      </c>
      <c r="I45" s="58" t="s">
        <v>520</v>
      </c>
      <c r="J45" s="25"/>
      <c r="K45" s="25" t="s">
        <v>312</v>
      </c>
      <c r="L45" s="25" t="s">
        <v>313</v>
      </c>
    </row>
    <row r="46" spans="1:15" hidden="1" x14ac:dyDescent="0.25">
      <c r="A46" s="9">
        <v>44348</v>
      </c>
      <c r="B46" s="6" t="s">
        <v>105</v>
      </c>
      <c r="C46" s="6" t="s">
        <v>92</v>
      </c>
      <c r="D46" s="7">
        <v>140000</v>
      </c>
      <c r="E46" s="7" t="str">
        <f t="shared" si="3"/>
        <v>0</v>
      </c>
      <c r="F46" s="7">
        <f t="shared" si="6"/>
        <v>140000</v>
      </c>
      <c r="G46" s="7">
        <f t="shared" si="7"/>
        <v>4563993</v>
      </c>
      <c r="H46" s="35"/>
      <c r="I46" s="24"/>
      <c r="J46" s="24" t="s">
        <v>281</v>
      </c>
      <c r="K46" s="24" t="s">
        <v>280</v>
      </c>
      <c r="L46" s="24" t="s">
        <v>265</v>
      </c>
    </row>
    <row r="47" spans="1:15" hidden="1" x14ac:dyDescent="0.25">
      <c r="A47" s="9">
        <v>44348</v>
      </c>
      <c r="B47" s="6" t="s">
        <v>106</v>
      </c>
      <c r="C47" s="6" t="s">
        <v>93</v>
      </c>
      <c r="D47" s="7">
        <v>-70000</v>
      </c>
      <c r="E47" s="7">
        <f t="shared" si="3"/>
        <v>70000</v>
      </c>
      <c r="F47" s="7" t="str">
        <f t="shared" si="6"/>
        <v>0</v>
      </c>
      <c r="G47" s="7">
        <f t="shared" si="7"/>
        <v>4493993</v>
      </c>
      <c r="H47" s="64"/>
      <c r="I47" s="64"/>
      <c r="J47" s="24" t="s">
        <v>348</v>
      </c>
      <c r="K47" s="24" t="s">
        <v>347</v>
      </c>
      <c r="L47" s="24"/>
    </row>
    <row r="48" spans="1:15" hidden="1" x14ac:dyDescent="0.25">
      <c r="A48" s="9">
        <v>44348</v>
      </c>
      <c r="B48" s="6" t="s">
        <v>107</v>
      </c>
      <c r="C48" s="6" t="s">
        <v>94</v>
      </c>
      <c r="D48" s="7">
        <v>-65000</v>
      </c>
      <c r="E48" s="7">
        <f t="shared" si="3"/>
        <v>65000</v>
      </c>
      <c r="F48" s="7" t="str">
        <f t="shared" si="6"/>
        <v>0</v>
      </c>
      <c r="G48" s="7">
        <f t="shared" si="7"/>
        <v>4428993</v>
      </c>
      <c r="H48" s="64"/>
      <c r="I48" s="64"/>
      <c r="J48" s="24" t="s">
        <v>293</v>
      </c>
      <c r="K48" s="24" t="s">
        <v>294</v>
      </c>
      <c r="L48" s="24" t="s">
        <v>337</v>
      </c>
    </row>
    <row r="49" spans="1:15" hidden="1" x14ac:dyDescent="0.25">
      <c r="A49" s="9">
        <v>44348</v>
      </c>
      <c r="B49" s="6" t="s">
        <v>108</v>
      </c>
      <c r="C49" s="6" t="s">
        <v>95</v>
      </c>
      <c r="D49" s="7">
        <v>-110000</v>
      </c>
      <c r="E49" s="7">
        <f t="shared" si="3"/>
        <v>110000</v>
      </c>
      <c r="F49" s="7" t="str">
        <f t="shared" si="6"/>
        <v>0</v>
      </c>
      <c r="G49" s="7">
        <f t="shared" si="7"/>
        <v>4318993</v>
      </c>
      <c r="H49" s="64"/>
      <c r="I49" s="64"/>
      <c r="J49" s="24" t="s">
        <v>261</v>
      </c>
      <c r="K49" s="24" t="s">
        <v>257</v>
      </c>
      <c r="L49" s="24" t="s">
        <v>258</v>
      </c>
    </row>
    <row r="50" spans="1:15" hidden="1" x14ac:dyDescent="0.25">
      <c r="A50" s="9">
        <v>44348</v>
      </c>
      <c r="B50" s="6" t="s">
        <v>109</v>
      </c>
      <c r="C50" s="6" t="s">
        <v>63</v>
      </c>
      <c r="D50" s="7">
        <v>-100000</v>
      </c>
      <c r="E50" s="7">
        <f t="shared" si="3"/>
        <v>100000</v>
      </c>
      <c r="F50" s="7" t="str">
        <f t="shared" si="6"/>
        <v>0</v>
      </c>
      <c r="G50" s="7">
        <f t="shared" si="7"/>
        <v>4218993</v>
      </c>
      <c r="H50" s="64"/>
      <c r="I50" s="64"/>
      <c r="J50" s="24"/>
      <c r="K50" s="24" t="s">
        <v>320</v>
      </c>
      <c r="L50" s="24" t="s">
        <v>300</v>
      </c>
    </row>
    <row r="51" spans="1:15" hidden="1" x14ac:dyDescent="0.25">
      <c r="A51" s="14">
        <v>44348</v>
      </c>
      <c r="B51" s="15" t="s">
        <v>109</v>
      </c>
      <c r="C51" s="15" t="s">
        <v>96</v>
      </c>
      <c r="D51" s="16">
        <v>-90000</v>
      </c>
      <c r="E51" s="16">
        <f t="shared" si="3"/>
        <v>90000</v>
      </c>
      <c r="F51" s="16" t="str">
        <f t="shared" si="6"/>
        <v>0</v>
      </c>
      <c r="G51" s="16">
        <f t="shared" si="7"/>
        <v>4128993</v>
      </c>
      <c r="H51" s="58" t="s">
        <v>667</v>
      </c>
      <c r="I51" s="58" t="s">
        <v>518</v>
      </c>
      <c r="J51" s="25" t="s">
        <v>332</v>
      </c>
      <c r="K51" s="25" t="s">
        <v>331</v>
      </c>
      <c r="L51" s="25" t="s">
        <v>333</v>
      </c>
    </row>
    <row r="52" spans="1:15" hidden="1" x14ac:dyDescent="0.25">
      <c r="A52" s="9">
        <v>44348</v>
      </c>
      <c r="B52" s="6" t="s">
        <v>109</v>
      </c>
      <c r="C52" s="6" t="s">
        <v>95</v>
      </c>
      <c r="D52" s="7">
        <v>-85000</v>
      </c>
      <c r="E52" s="7">
        <f t="shared" si="3"/>
        <v>85000</v>
      </c>
      <c r="F52" s="7" t="str">
        <f t="shared" si="6"/>
        <v>0</v>
      </c>
      <c r="G52" s="7">
        <f t="shared" si="7"/>
        <v>4043993</v>
      </c>
      <c r="H52" s="64"/>
      <c r="I52" s="64"/>
      <c r="J52" s="24" t="s">
        <v>261</v>
      </c>
      <c r="K52" s="24" t="s">
        <v>257</v>
      </c>
      <c r="L52" s="24" t="s">
        <v>258</v>
      </c>
    </row>
    <row r="53" spans="1:15" hidden="1" x14ac:dyDescent="0.25">
      <c r="A53" s="9">
        <v>44348</v>
      </c>
      <c r="B53" s="6" t="s">
        <v>109</v>
      </c>
      <c r="C53" s="6" t="s">
        <v>97</v>
      </c>
      <c r="D53" s="7">
        <v>-65000</v>
      </c>
      <c r="E53" s="7">
        <f t="shared" si="3"/>
        <v>65000</v>
      </c>
      <c r="F53" s="7" t="str">
        <f t="shared" si="6"/>
        <v>0</v>
      </c>
      <c r="G53" s="7">
        <f t="shared" si="7"/>
        <v>3978993</v>
      </c>
      <c r="H53" s="64"/>
      <c r="I53" s="64"/>
      <c r="J53" s="24" t="s">
        <v>358</v>
      </c>
      <c r="K53" s="24" t="s">
        <v>357</v>
      </c>
      <c r="L53" s="24"/>
    </row>
    <row r="54" spans="1:15" hidden="1" x14ac:dyDescent="0.25">
      <c r="A54" s="9">
        <v>44348</v>
      </c>
      <c r="B54" s="6" t="s">
        <v>109</v>
      </c>
      <c r="C54" s="6" t="s">
        <v>98</v>
      </c>
      <c r="D54" s="7">
        <v>-44503</v>
      </c>
      <c r="E54" s="7">
        <f t="shared" si="3"/>
        <v>44503</v>
      </c>
      <c r="F54" s="7" t="str">
        <f t="shared" si="6"/>
        <v>0</v>
      </c>
      <c r="G54" s="7">
        <f t="shared" si="7"/>
        <v>3934490</v>
      </c>
      <c r="H54" s="64"/>
      <c r="I54" s="64"/>
      <c r="J54" s="24"/>
      <c r="K54" s="24" t="s">
        <v>301</v>
      </c>
      <c r="L54" s="24" t="s">
        <v>302</v>
      </c>
    </row>
    <row r="55" spans="1:15" hidden="1" x14ac:dyDescent="0.25">
      <c r="A55" s="9">
        <v>44348</v>
      </c>
      <c r="B55" s="6" t="s">
        <v>109</v>
      </c>
      <c r="C55" s="6" t="s">
        <v>99</v>
      </c>
      <c r="D55" s="7">
        <v>-23500</v>
      </c>
      <c r="E55" s="7">
        <f t="shared" si="3"/>
        <v>23500</v>
      </c>
      <c r="F55" s="7" t="str">
        <f t="shared" si="6"/>
        <v>0</v>
      </c>
      <c r="G55" s="7">
        <f t="shared" si="7"/>
        <v>3910990</v>
      </c>
      <c r="H55" s="64"/>
      <c r="I55" s="64"/>
      <c r="J55" s="24"/>
      <c r="K55" s="24" t="s">
        <v>305</v>
      </c>
      <c r="L55" s="24" t="s">
        <v>304</v>
      </c>
    </row>
    <row r="56" spans="1:15" hidden="1" x14ac:dyDescent="0.25">
      <c r="A56" s="9">
        <v>44348</v>
      </c>
      <c r="B56" s="6" t="s">
        <v>109</v>
      </c>
      <c r="C56" s="6" t="s">
        <v>65</v>
      </c>
      <c r="D56" s="7">
        <v>-14000</v>
      </c>
      <c r="E56" s="7">
        <f t="shared" si="3"/>
        <v>14000</v>
      </c>
      <c r="F56" s="7" t="str">
        <f t="shared" si="6"/>
        <v>0</v>
      </c>
      <c r="G56" s="7">
        <f t="shared" si="7"/>
        <v>3896990</v>
      </c>
      <c r="H56" s="64"/>
      <c r="I56" s="64"/>
      <c r="J56" s="24"/>
      <c r="K56" s="24" t="s">
        <v>301</v>
      </c>
      <c r="L56" s="24" t="s">
        <v>304</v>
      </c>
    </row>
    <row r="57" spans="1:15" hidden="1" x14ac:dyDescent="0.25">
      <c r="A57" s="9">
        <v>44348</v>
      </c>
      <c r="B57" s="6" t="s">
        <v>109</v>
      </c>
      <c r="C57" s="6" t="s">
        <v>65</v>
      </c>
      <c r="D57" s="7">
        <v>-1890</v>
      </c>
      <c r="E57" s="7">
        <f t="shared" si="3"/>
        <v>1890</v>
      </c>
      <c r="F57" s="7" t="str">
        <f t="shared" si="6"/>
        <v>0</v>
      </c>
      <c r="G57" s="7">
        <f t="shared" si="7"/>
        <v>3895100</v>
      </c>
      <c r="H57" s="64"/>
      <c r="I57" s="64"/>
      <c r="J57" s="24"/>
      <c r="K57" s="24" t="s">
        <v>301</v>
      </c>
      <c r="L57" s="24" t="s">
        <v>304</v>
      </c>
    </row>
    <row r="58" spans="1:15" hidden="1" x14ac:dyDescent="0.25">
      <c r="A58" s="9">
        <v>44348</v>
      </c>
      <c r="B58" s="6" t="s">
        <v>110</v>
      </c>
      <c r="C58" s="6" t="s">
        <v>96</v>
      </c>
      <c r="D58" s="7">
        <v>-90000</v>
      </c>
      <c r="E58" s="7">
        <f t="shared" si="3"/>
        <v>90000</v>
      </c>
      <c r="F58" s="7" t="str">
        <f t="shared" si="6"/>
        <v>0</v>
      </c>
      <c r="G58" s="7">
        <f t="shared" si="7"/>
        <v>3805100</v>
      </c>
      <c r="H58" s="64"/>
      <c r="I58" s="64"/>
      <c r="J58" s="24" t="s">
        <v>332</v>
      </c>
      <c r="K58" s="24" t="s">
        <v>331</v>
      </c>
      <c r="L58" s="24" t="s">
        <v>333</v>
      </c>
    </row>
    <row r="59" spans="1:15" hidden="1" x14ac:dyDescent="0.25">
      <c r="A59" s="9">
        <v>44348</v>
      </c>
      <c r="B59" s="6" t="s">
        <v>110</v>
      </c>
      <c r="C59" s="6" t="s">
        <v>100</v>
      </c>
      <c r="D59" s="7">
        <v>-37008</v>
      </c>
      <c r="E59" s="7">
        <f t="shared" si="3"/>
        <v>37008</v>
      </c>
      <c r="F59" s="7" t="str">
        <f t="shared" si="6"/>
        <v>0</v>
      </c>
      <c r="G59" s="7">
        <f t="shared" si="7"/>
        <v>3768092</v>
      </c>
      <c r="H59" s="64"/>
      <c r="I59" s="64"/>
      <c r="J59" s="24"/>
      <c r="K59" s="24" t="s">
        <v>301</v>
      </c>
      <c r="L59" s="24" t="s">
        <v>302</v>
      </c>
    </row>
    <row r="60" spans="1:15" hidden="1" x14ac:dyDescent="0.25">
      <c r="A60" s="9">
        <v>44348</v>
      </c>
      <c r="B60" s="6" t="s">
        <v>110</v>
      </c>
      <c r="C60" s="6" t="s">
        <v>101</v>
      </c>
      <c r="D60" s="7">
        <v>-5900</v>
      </c>
      <c r="E60" s="7">
        <f t="shared" si="3"/>
        <v>5900</v>
      </c>
      <c r="F60" s="7" t="str">
        <f t="shared" si="6"/>
        <v>0</v>
      </c>
      <c r="G60" s="7">
        <f t="shared" si="7"/>
        <v>3762192</v>
      </c>
      <c r="H60" s="64"/>
      <c r="I60" s="64"/>
      <c r="J60" s="24"/>
      <c r="K60" s="24" t="s">
        <v>311</v>
      </c>
      <c r="L60" s="24" t="s">
        <v>304</v>
      </c>
      <c r="M60" s="4">
        <v>44377</v>
      </c>
      <c r="N60" s="2">
        <v>3762192</v>
      </c>
      <c r="O60" s="2">
        <f>+G60-N60</f>
        <v>0</v>
      </c>
    </row>
    <row r="61" spans="1:15" x14ac:dyDescent="0.25">
      <c r="A61" s="9">
        <v>44378</v>
      </c>
      <c r="B61" s="6" t="s">
        <v>125</v>
      </c>
      <c r="C61" s="6" t="s">
        <v>111</v>
      </c>
      <c r="D61" s="7">
        <v>12658000</v>
      </c>
      <c r="E61" s="7" t="str">
        <f t="shared" si="3"/>
        <v>0</v>
      </c>
      <c r="F61" s="7">
        <f t="shared" ref="F61:F96" si="8">+IF(D61&lt;0,"0",D61)</f>
        <v>12658000</v>
      </c>
      <c r="G61" s="7">
        <f t="shared" ref="G61:G96" si="9">+F61-E61+G60</f>
        <v>16420192</v>
      </c>
      <c r="H61" s="35"/>
      <c r="I61" s="24"/>
      <c r="J61" s="24"/>
      <c r="K61" s="24" t="s">
        <v>317</v>
      </c>
      <c r="L61" s="24" t="s">
        <v>265</v>
      </c>
    </row>
    <row r="62" spans="1:15" hidden="1" x14ac:dyDescent="0.25">
      <c r="A62" s="9">
        <v>44378</v>
      </c>
      <c r="B62" s="6" t="s">
        <v>125</v>
      </c>
      <c r="C62" s="6" t="s">
        <v>112</v>
      </c>
      <c r="D62" s="7">
        <v>250000</v>
      </c>
      <c r="E62" s="7" t="str">
        <f t="shared" si="3"/>
        <v>0</v>
      </c>
      <c r="F62" s="7">
        <f t="shared" si="8"/>
        <v>250000</v>
      </c>
      <c r="G62" s="7">
        <f t="shared" si="9"/>
        <v>16670192</v>
      </c>
      <c r="H62" s="35"/>
      <c r="I62" s="24"/>
      <c r="J62" s="24" t="s">
        <v>289</v>
      </c>
      <c r="K62" s="24"/>
      <c r="L62" s="24"/>
    </row>
    <row r="63" spans="1:15" x14ac:dyDescent="0.25">
      <c r="A63" s="9">
        <v>44378</v>
      </c>
      <c r="B63" s="6" t="s">
        <v>125</v>
      </c>
      <c r="C63" s="6" t="s">
        <v>113</v>
      </c>
      <c r="D63" s="7">
        <v>250000</v>
      </c>
      <c r="E63" s="7" t="str">
        <f t="shared" si="3"/>
        <v>0</v>
      </c>
      <c r="F63" s="7">
        <f t="shared" si="8"/>
        <v>250000</v>
      </c>
      <c r="G63" s="7">
        <f t="shared" si="9"/>
        <v>16920192</v>
      </c>
      <c r="H63" s="35"/>
      <c r="I63" s="24"/>
      <c r="J63" s="24">
        <v>162824252</v>
      </c>
      <c r="K63" s="24" t="s">
        <v>284</v>
      </c>
      <c r="L63" s="24" t="s">
        <v>265</v>
      </c>
    </row>
    <row r="64" spans="1:15" hidden="1" x14ac:dyDescent="0.25">
      <c r="A64" s="9">
        <v>44378</v>
      </c>
      <c r="B64" s="6" t="s">
        <v>125</v>
      </c>
      <c r="C64" s="6" t="s">
        <v>114</v>
      </c>
      <c r="D64" s="7">
        <v>-59290</v>
      </c>
      <c r="E64" s="7">
        <f t="shared" si="3"/>
        <v>59290</v>
      </c>
      <c r="F64" s="7" t="str">
        <f t="shared" si="8"/>
        <v>0</v>
      </c>
      <c r="G64" s="7">
        <f t="shared" si="9"/>
        <v>16860902</v>
      </c>
      <c r="H64" s="64"/>
      <c r="I64" s="64"/>
      <c r="J64" s="24"/>
      <c r="K64" s="24" t="s">
        <v>307</v>
      </c>
      <c r="L64" s="24" t="s">
        <v>304</v>
      </c>
    </row>
    <row r="65" spans="1:12" hidden="1" x14ac:dyDescent="0.25">
      <c r="A65" s="9">
        <v>44378</v>
      </c>
      <c r="B65" s="6" t="s">
        <v>125</v>
      </c>
      <c r="C65" s="6" t="s">
        <v>115</v>
      </c>
      <c r="D65" s="7">
        <v>-38502</v>
      </c>
      <c r="E65" s="7">
        <f t="shared" si="3"/>
        <v>38502</v>
      </c>
      <c r="F65" s="7" t="str">
        <f t="shared" si="8"/>
        <v>0</v>
      </c>
      <c r="G65" s="7">
        <f t="shared" si="9"/>
        <v>16822400</v>
      </c>
      <c r="H65" s="64"/>
      <c r="I65" s="64"/>
      <c r="J65" s="24"/>
      <c r="K65" s="24" t="s">
        <v>301</v>
      </c>
      <c r="L65" s="24" t="s">
        <v>302</v>
      </c>
    </row>
    <row r="66" spans="1:12" hidden="1" x14ac:dyDescent="0.25">
      <c r="A66" s="9">
        <v>44378</v>
      </c>
      <c r="B66" s="6" t="s">
        <v>125</v>
      </c>
      <c r="C66" s="6" t="s">
        <v>116</v>
      </c>
      <c r="D66" s="7">
        <v>-35000</v>
      </c>
      <c r="E66" s="7">
        <f t="shared" si="3"/>
        <v>35000</v>
      </c>
      <c r="F66" s="7" t="str">
        <f t="shared" si="8"/>
        <v>0</v>
      </c>
      <c r="G66" s="7">
        <f t="shared" si="9"/>
        <v>16787400</v>
      </c>
      <c r="H66" s="64"/>
      <c r="I66" s="64"/>
      <c r="J66" s="24" t="s">
        <v>342</v>
      </c>
      <c r="K66" s="24" t="s">
        <v>274</v>
      </c>
      <c r="L66" s="24" t="s">
        <v>300</v>
      </c>
    </row>
    <row r="67" spans="1:12" hidden="1" x14ac:dyDescent="0.25">
      <c r="A67" s="9">
        <v>44378</v>
      </c>
      <c r="B67" s="6" t="s">
        <v>125</v>
      </c>
      <c r="C67" s="6" t="s">
        <v>81</v>
      </c>
      <c r="D67" s="7">
        <v>-5600</v>
      </c>
      <c r="E67" s="7">
        <f t="shared" si="3"/>
        <v>5600</v>
      </c>
      <c r="F67" s="7" t="str">
        <f t="shared" si="8"/>
        <v>0</v>
      </c>
      <c r="G67" s="7">
        <f t="shared" si="9"/>
        <v>16781800</v>
      </c>
      <c r="H67" s="64"/>
      <c r="I67" s="64"/>
      <c r="J67" s="24" t="s">
        <v>253</v>
      </c>
      <c r="K67" s="24" t="s">
        <v>254</v>
      </c>
      <c r="L67" s="24"/>
    </row>
    <row r="68" spans="1:12" hidden="1" x14ac:dyDescent="0.25">
      <c r="A68" s="9">
        <v>44378</v>
      </c>
      <c r="B68" s="6" t="s">
        <v>125</v>
      </c>
      <c r="C68" s="6" t="s">
        <v>117</v>
      </c>
      <c r="D68" s="7">
        <v>-4100</v>
      </c>
      <c r="E68" s="7">
        <f t="shared" si="3"/>
        <v>4100</v>
      </c>
      <c r="F68" s="7" t="str">
        <f t="shared" si="8"/>
        <v>0</v>
      </c>
      <c r="G68" s="7">
        <f t="shared" si="9"/>
        <v>16777700</v>
      </c>
      <c r="H68" s="64"/>
      <c r="I68" s="64"/>
      <c r="J68" s="24"/>
      <c r="K68" s="24" t="s">
        <v>301</v>
      </c>
      <c r="L68" s="24" t="s">
        <v>302</v>
      </c>
    </row>
    <row r="69" spans="1:12" x14ac:dyDescent="0.25">
      <c r="A69" s="9">
        <v>44378</v>
      </c>
      <c r="B69" s="6" t="s">
        <v>126</v>
      </c>
      <c r="C69" s="6" t="s">
        <v>118</v>
      </c>
      <c r="D69" s="7">
        <v>5000000</v>
      </c>
      <c r="E69" s="7" t="str">
        <f t="shared" si="3"/>
        <v>0</v>
      </c>
      <c r="F69" s="7">
        <f t="shared" si="8"/>
        <v>5000000</v>
      </c>
      <c r="G69" s="7">
        <f t="shared" si="9"/>
        <v>21777700</v>
      </c>
      <c r="H69" s="35"/>
      <c r="I69" s="24"/>
      <c r="J69" s="24" t="s">
        <v>296</v>
      </c>
      <c r="K69" s="24" t="s">
        <v>297</v>
      </c>
      <c r="L69" s="24" t="s">
        <v>265</v>
      </c>
    </row>
    <row r="70" spans="1:12" x14ac:dyDescent="0.25">
      <c r="A70" s="9">
        <v>44378</v>
      </c>
      <c r="B70" s="6" t="s">
        <v>126</v>
      </c>
      <c r="C70" s="6" t="s">
        <v>118</v>
      </c>
      <c r="D70" s="7">
        <v>5000000</v>
      </c>
      <c r="E70" s="7" t="str">
        <f t="shared" si="3"/>
        <v>0</v>
      </c>
      <c r="F70" s="7">
        <f t="shared" si="8"/>
        <v>5000000</v>
      </c>
      <c r="G70" s="7">
        <f t="shared" si="9"/>
        <v>26777700</v>
      </c>
      <c r="H70" s="35"/>
      <c r="I70" s="24"/>
      <c r="J70" s="24" t="s">
        <v>296</v>
      </c>
      <c r="K70" s="24" t="s">
        <v>297</v>
      </c>
      <c r="L70" s="24" t="s">
        <v>265</v>
      </c>
    </row>
    <row r="71" spans="1:12" x14ac:dyDescent="0.25">
      <c r="A71" s="9">
        <v>44378</v>
      </c>
      <c r="B71" s="6" t="s">
        <v>126</v>
      </c>
      <c r="C71" s="6" t="s">
        <v>118</v>
      </c>
      <c r="D71" s="7">
        <v>432241</v>
      </c>
      <c r="E71" s="7" t="str">
        <f t="shared" si="3"/>
        <v>0</v>
      </c>
      <c r="F71" s="7">
        <f t="shared" si="8"/>
        <v>432241</v>
      </c>
      <c r="G71" s="7">
        <f t="shared" si="9"/>
        <v>27209941</v>
      </c>
      <c r="H71" s="35"/>
      <c r="I71" s="24"/>
      <c r="J71" s="24" t="s">
        <v>296</v>
      </c>
      <c r="K71" s="24" t="s">
        <v>297</v>
      </c>
      <c r="L71" s="24" t="s">
        <v>265</v>
      </c>
    </row>
    <row r="72" spans="1:12" hidden="1" x14ac:dyDescent="0.25">
      <c r="A72" s="9">
        <v>44378</v>
      </c>
      <c r="B72" s="6" t="s">
        <v>126</v>
      </c>
      <c r="C72" s="6" t="s">
        <v>119</v>
      </c>
      <c r="D72" s="7">
        <v>-12658000</v>
      </c>
      <c r="E72" s="7">
        <f t="shared" si="3"/>
        <v>12658000</v>
      </c>
      <c r="F72" s="7" t="str">
        <f t="shared" si="8"/>
        <v>0</v>
      </c>
      <c r="G72" s="7">
        <f t="shared" si="9"/>
        <v>14551941</v>
      </c>
      <c r="H72" s="64"/>
      <c r="I72" s="64"/>
      <c r="J72" s="24"/>
      <c r="K72" s="24"/>
      <c r="L72" s="24" t="s">
        <v>298</v>
      </c>
    </row>
    <row r="73" spans="1:12" hidden="1" x14ac:dyDescent="0.25">
      <c r="A73" s="9">
        <v>44378</v>
      </c>
      <c r="B73" s="6" t="s">
        <v>127</v>
      </c>
      <c r="C73" s="6" t="s">
        <v>120</v>
      </c>
      <c r="D73" s="7">
        <v>-28501</v>
      </c>
      <c r="E73" s="7">
        <f t="shared" si="3"/>
        <v>28501</v>
      </c>
      <c r="F73" s="7" t="str">
        <f t="shared" si="8"/>
        <v>0</v>
      </c>
      <c r="G73" s="7">
        <f t="shared" si="9"/>
        <v>14523440</v>
      </c>
      <c r="H73" s="64"/>
      <c r="I73" s="64"/>
      <c r="J73" s="24"/>
      <c r="K73" s="24"/>
      <c r="L73" s="24" t="s">
        <v>300</v>
      </c>
    </row>
    <row r="74" spans="1:12" x14ac:dyDescent="0.25">
      <c r="A74" s="9">
        <v>44378</v>
      </c>
      <c r="B74" s="6" t="s">
        <v>128</v>
      </c>
      <c r="C74" s="6" t="s">
        <v>111</v>
      </c>
      <c r="D74" s="7">
        <v>12658000</v>
      </c>
      <c r="E74" s="7" t="str">
        <f t="shared" si="3"/>
        <v>0</v>
      </c>
      <c r="F74" s="7">
        <f t="shared" si="8"/>
        <v>12658000</v>
      </c>
      <c r="G74" s="7">
        <f t="shared" si="9"/>
        <v>27181440</v>
      </c>
      <c r="H74" s="35"/>
      <c r="I74" s="24"/>
      <c r="J74" s="24"/>
      <c r="K74" s="24" t="s">
        <v>317</v>
      </c>
      <c r="L74" s="24" t="s">
        <v>265</v>
      </c>
    </row>
    <row r="75" spans="1:12" x14ac:dyDescent="0.25">
      <c r="A75" s="9">
        <v>44378</v>
      </c>
      <c r="B75" s="6" t="s">
        <v>129</v>
      </c>
      <c r="C75" s="6" t="s">
        <v>111</v>
      </c>
      <c r="D75" s="7">
        <v>10400000</v>
      </c>
      <c r="E75" s="7" t="str">
        <f t="shared" si="3"/>
        <v>0</v>
      </c>
      <c r="F75" s="7">
        <f t="shared" si="8"/>
        <v>10400000</v>
      </c>
      <c r="G75" s="7">
        <f t="shared" si="9"/>
        <v>37581440</v>
      </c>
      <c r="H75" s="35"/>
      <c r="I75" s="24"/>
      <c r="J75" s="24"/>
      <c r="K75" s="24" t="s">
        <v>317</v>
      </c>
      <c r="L75" s="24" t="s">
        <v>265</v>
      </c>
    </row>
    <row r="76" spans="1:12" hidden="1" x14ac:dyDescent="0.25">
      <c r="A76" s="14">
        <v>44378</v>
      </c>
      <c r="B76" s="15" t="s">
        <v>129</v>
      </c>
      <c r="C76" s="15" t="s">
        <v>121</v>
      </c>
      <c r="D76" s="16">
        <v>-307020</v>
      </c>
      <c r="E76" s="16">
        <f t="shared" si="3"/>
        <v>307020</v>
      </c>
      <c r="F76" s="16" t="str">
        <f t="shared" si="8"/>
        <v>0</v>
      </c>
      <c r="G76" s="16">
        <f t="shared" si="9"/>
        <v>37274420</v>
      </c>
      <c r="H76" s="58" t="s">
        <v>647</v>
      </c>
      <c r="I76" s="59" t="s">
        <v>654</v>
      </c>
      <c r="J76" s="25" t="s">
        <v>364</v>
      </c>
      <c r="K76" s="25" t="s">
        <v>362</v>
      </c>
      <c r="L76" s="25" t="s">
        <v>687</v>
      </c>
    </row>
    <row r="77" spans="1:12" hidden="1" x14ac:dyDescent="0.25">
      <c r="A77" s="9">
        <v>44378</v>
      </c>
      <c r="B77" s="6" t="s">
        <v>129</v>
      </c>
      <c r="C77" s="6" t="s">
        <v>121</v>
      </c>
      <c r="D77" s="7">
        <v>-258000</v>
      </c>
      <c r="E77" s="7">
        <f t="shared" si="3"/>
        <v>258000</v>
      </c>
      <c r="F77" s="7" t="str">
        <f t="shared" si="8"/>
        <v>0</v>
      </c>
      <c r="G77" s="7">
        <f t="shared" si="9"/>
        <v>37016420</v>
      </c>
      <c r="H77" s="64"/>
      <c r="I77" s="64"/>
      <c r="J77" s="24" t="s">
        <v>364</v>
      </c>
      <c r="K77" s="24" t="s">
        <v>362</v>
      </c>
      <c r="L77" s="24" t="s">
        <v>687</v>
      </c>
    </row>
    <row r="78" spans="1:12" hidden="1" x14ac:dyDescent="0.25">
      <c r="A78" s="14">
        <v>44378</v>
      </c>
      <c r="B78" s="15" t="s">
        <v>130</v>
      </c>
      <c r="C78" s="15" t="s">
        <v>121</v>
      </c>
      <c r="D78" s="16">
        <v>-259420</v>
      </c>
      <c r="E78" s="16">
        <f t="shared" si="3"/>
        <v>259420</v>
      </c>
      <c r="F78" s="16" t="str">
        <f t="shared" si="8"/>
        <v>0</v>
      </c>
      <c r="G78" s="16">
        <f t="shared" si="9"/>
        <v>36757000</v>
      </c>
      <c r="H78" s="58" t="s">
        <v>647</v>
      </c>
      <c r="I78" s="59" t="s">
        <v>655</v>
      </c>
      <c r="J78" s="25" t="s">
        <v>364</v>
      </c>
      <c r="K78" s="25" t="s">
        <v>362</v>
      </c>
      <c r="L78" s="25" t="s">
        <v>687</v>
      </c>
    </row>
    <row r="79" spans="1:12" hidden="1" x14ac:dyDescent="0.25">
      <c r="A79" s="9">
        <v>44378</v>
      </c>
      <c r="B79" s="6" t="s">
        <v>130</v>
      </c>
      <c r="C79" s="6" t="s">
        <v>79</v>
      </c>
      <c r="D79" s="7">
        <v>-8700</v>
      </c>
      <c r="E79" s="7">
        <f t="shared" si="3"/>
        <v>8700</v>
      </c>
      <c r="F79" s="7" t="str">
        <f t="shared" si="8"/>
        <v>0</v>
      </c>
      <c r="G79" s="7">
        <f t="shared" si="9"/>
        <v>36748300</v>
      </c>
      <c r="H79" s="64"/>
      <c r="I79" s="64"/>
      <c r="J79" s="24" t="s">
        <v>251</v>
      </c>
      <c r="K79" s="24" t="s">
        <v>252</v>
      </c>
      <c r="L79" s="24"/>
    </row>
    <row r="80" spans="1:12" x14ac:dyDescent="0.25">
      <c r="A80" s="9">
        <v>44378</v>
      </c>
      <c r="B80" s="6" t="s">
        <v>131</v>
      </c>
      <c r="C80" s="6" t="s">
        <v>118</v>
      </c>
      <c r="D80" s="7">
        <v>5000000</v>
      </c>
      <c r="E80" s="7" t="str">
        <f t="shared" ref="E80:E143" si="10">+IF(D80&lt;0,-D80,"0")</f>
        <v>0</v>
      </c>
      <c r="F80" s="7">
        <f t="shared" si="8"/>
        <v>5000000</v>
      </c>
      <c r="G80" s="7">
        <f t="shared" si="9"/>
        <v>41748300</v>
      </c>
      <c r="H80" s="35"/>
      <c r="I80" s="24"/>
      <c r="J80" s="24" t="s">
        <v>296</v>
      </c>
      <c r="K80" s="24" t="s">
        <v>297</v>
      </c>
      <c r="L80" s="24" t="s">
        <v>265</v>
      </c>
    </row>
    <row r="81" spans="1:15" x14ac:dyDescent="0.25">
      <c r="A81" s="9">
        <v>44378</v>
      </c>
      <c r="B81" s="6" t="s">
        <v>131</v>
      </c>
      <c r="C81" s="6" t="s">
        <v>118</v>
      </c>
      <c r="D81" s="7">
        <v>1472001</v>
      </c>
      <c r="E81" s="7" t="str">
        <f t="shared" si="10"/>
        <v>0</v>
      </c>
      <c r="F81" s="7">
        <f t="shared" si="8"/>
        <v>1472001</v>
      </c>
      <c r="G81" s="7">
        <f t="shared" si="9"/>
        <v>43220301</v>
      </c>
      <c r="H81" s="35"/>
      <c r="I81" s="24"/>
      <c r="J81" s="24" t="s">
        <v>296</v>
      </c>
      <c r="K81" s="24" t="s">
        <v>297</v>
      </c>
      <c r="L81" s="24" t="s">
        <v>265</v>
      </c>
    </row>
    <row r="82" spans="1:15" x14ac:dyDescent="0.25">
      <c r="A82" s="9">
        <v>44378</v>
      </c>
      <c r="B82" s="6" t="s">
        <v>132</v>
      </c>
      <c r="C82" s="6" t="s">
        <v>118</v>
      </c>
      <c r="D82" s="7">
        <v>5000000</v>
      </c>
      <c r="E82" s="7" t="str">
        <f t="shared" si="10"/>
        <v>0</v>
      </c>
      <c r="F82" s="7">
        <f t="shared" si="8"/>
        <v>5000000</v>
      </c>
      <c r="G82" s="7">
        <f t="shared" si="9"/>
        <v>48220301</v>
      </c>
      <c r="H82" s="35"/>
      <c r="I82" s="24"/>
      <c r="J82" s="24" t="s">
        <v>296</v>
      </c>
      <c r="K82" s="24" t="s">
        <v>297</v>
      </c>
      <c r="L82" s="24" t="s">
        <v>265</v>
      </c>
    </row>
    <row r="83" spans="1:15" x14ac:dyDescent="0.25">
      <c r="A83" s="9">
        <v>44378</v>
      </c>
      <c r="B83" s="6" t="s">
        <v>132</v>
      </c>
      <c r="C83" s="6" t="s">
        <v>118</v>
      </c>
      <c r="D83" s="7">
        <v>2400000</v>
      </c>
      <c r="E83" s="7" t="str">
        <f t="shared" si="10"/>
        <v>0</v>
      </c>
      <c r="F83" s="7">
        <f t="shared" si="8"/>
        <v>2400000</v>
      </c>
      <c r="G83" s="7">
        <f t="shared" si="9"/>
        <v>50620301</v>
      </c>
      <c r="H83" s="35"/>
      <c r="I83" s="24"/>
      <c r="J83" s="24" t="s">
        <v>296</v>
      </c>
      <c r="K83" s="24" t="s">
        <v>297</v>
      </c>
      <c r="L83" s="24" t="s">
        <v>265</v>
      </c>
    </row>
    <row r="84" spans="1:15" hidden="1" x14ac:dyDescent="0.25">
      <c r="A84" s="9">
        <v>44378</v>
      </c>
      <c r="B84" s="6" t="s">
        <v>133</v>
      </c>
      <c r="C84" s="6" t="s">
        <v>81</v>
      </c>
      <c r="D84" s="7">
        <v>-229161</v>
      </c>
      <c r="E84" s="7">
        <f t="shared" si="10"/>
        <v>229161</v>
      </c>
      <c r="F84" s="7" t="str">
        <f t="shared" si="8"/>
        <v>0</v>
      </c>
      <c r="G84" s="7">
        <f t="shared" si="9"/>
        <v>50391140</v>
      </c>
      <c r="H84" s="64"/>
      <c r="I84" s="64"/>
      <c r="J84" s="24" t="s">
        <v>253</v>
      </c>
      <c r="K84" s="24" t="s">
        <v>254</v>
      </c>
      <c r="L84" s="24"/>
    </row>
    <row r="85" spans="1:15" hidden="1" x14ac:dyDescent="0.25">
      <c r="A85" s="9">
        <v>44378</v>
      </c>
      <c r="B85" s="6" t="s">
        <v>133</v>
      </c>
      <c r="C85" s="6" t="s">
        <v>122</v>
      </c>
      <c r="D85" s="7">
        <v>-73541</v>
      </c>
      <c r="E85" s="7">
        <f t="shared" si="10"/>
        <v>73541</v>
      </c>
      <c r="F85" s="7" t="str">
        <f t="shared" si="8"/>
        <v>0</v>
      </c>
      <c r="G85" s="7">
        <f t="shared" si="9"/>
        <v>50317599</v>
      </c>
      <c r="H85" s="64"/>
      <c r="I85" s="64"/>
      <c r="J85" s="24"/>
      <c r="K85" s="24" t="s">
        <v>321</v>
      </c>
      <c r="L85" s="24" t="s">
        <v>322</v>
      </c>
    </row>
    <row r="86" spans="1:15" hidden="1" x14ac:dyDescent="0.25">
      <c r="A86" s="9">
        <v>44378</v>
      </c>
      <c r="B86" s="6" t="s">
        <v>133</v>
      </c>
      <c r="C86" s="6" t="s">
        <v>122</v>
      </c>
      <c r="D86" s="7">
        <v>-34502</v>
      </c>
      <c r="E86" s="7">
        <f t="shared" si="10"/>
        <v>34502</v>
      </c>
      <c r="F86" s="7" t="str">
        <f t="shared" si="8"/>
        <v>0</v>
      </c>
      <c r="G86" s="7">
        <f t="shared" si="9"/>
        <v>50283097</v>
      </c>
      <c r="H86" s="64"/>
      <c r="I86" s="64"/>
      <c r="J86" s="24"/>
      <c r="K86" s="24" t="s">
        <v>321</v>
      </c>
      <c r="L86" s="24" t="s">
        <v>322</v>
      </c>
    </row>
    <row r="87" spans="1:15" hidden="1" x14ac:dyDescent="0.25">
      <c r="A87" s="9">
        <v>44378</v>
      </c>
      <c r="B87" s="6" t="s">
        <v>133</v>
      </c>
      <c r="C87" s="6" t="s">
        <v>123</v>
      </c>
      <c r="D87" s="7">
        <v>-30000</v>
      </c>
      <c r="E87" s="7">
        <f t="shared" si="10"/>
        <v>30000</v>
      </c>
      <c r="F87" s="7" t="str">
        <f t="shared" si="8"/>
        <v>0</v>
      </c>
      <c r="G87" s="7">
        <f t="shared" si="9"/>
        <v>50253097</v>
      </c>
      <c r="H87" s="64"/>
      <c r="I87" s="64"/>
      <c r="J87" s="24"/>
      <c r="K87" s="24" t="s">
        <v>301</v>
      </c>
      <c r="L87" s="24" t="s">
        <v>302</v>
      </c>
    </row>
    <row r="88" spans="1:15" hidden="1" x14ac:dyDescent="0.25">
      <c r="A88" s="9">
        <v>44378</v>
      </c>
      <c r="B88" s="6" t="s">
        <v>133</v>
      </c>
      <c r="C88" s="6" t="s">
        <v>101</v>
      </c>
      <c r="D88" s="7">
        <v>-7700</v>
      </c>
      <c r="E88" s="7">
        <f t="shared" si="10"/>
        <v>7700</v>
      </c>
      <c r="F88" s="7" t="str">
        <f t="shared" si="8"/>
        <v>0</v>
      </c>
      <c r="G88" s="7">
        <f t="shared" si="9"/>
        <v>50245397</v>
      </c>
      <c r="H88" s="64"/>
      <c r="I88" s="64"/>
      <c r="J88" s="24"/>
      <c r="K88" s="24" t="s">
        <v>311</v>
      </c>
      <c r="L88" s="24" t="s">
        <v>304</v>
      </c>
    </row>
    <row r="89" spans="1:15" x14ac:dyDescent="0.25">
      <c r="A89" s="9">
        <v>44378</v>
      </c>
      <c r="B89" s="6" t="s">
        <v>134</v>
      </c>
      <c r="C89" s="6" t="s">
        <v>118</v>
      </c>
      <c r="D89" s="7">
        <v>5000000</v>
      </c>
      <c r="E89" s="7" t="str">
        <f t="shared" si="10"/>
        <v>0</v>
      </c>
      <c r="F89" s="7">
        <f t="shared" si="8"/>
        <v>5000000</v>
      </c>
      <c r="G89" s="7">
        <f t="shared" si="9"/>
        <v>55245397</v>
      </c>
      <c r="H89" s="35"/>
      <c r="I89" s="24"/>
      <c r="J89" s="24" t="s">
        <v>296</v>
      </c>
      <c r="K89" s="24" t="s">
        <v>297</v>
      </c>
      <c r="L89" s="24" t="s">
        <v>265</v>
      </c>
    </row>
    <row r="90" spans="1:15" x14ac:dyDescent="0.25">
      <c r="A90" s="9">
        <v>44378</v>
      </c>
      <c r="B90" s="6" t="s">
        <v>134</v>
      </c>
      <c r="C90" s="6" t="s">
        <v>118</v>
      </c>
      <c r="D90" s="7">
        <v>5000000</v>
      </c>
      <c r="E90" s="7" t="str">
        <f t="shared" si="10"/>
        <v>0</v>
      </c>
      <c r="F90" s="7">
        <f t="shared" si="8"/>
        <v>5000000</v>
      </c>
      <c r="G90" s="7">
        <f t="shared" si="9"/>
        <v>60245397</v>
      </c>
      <c r="H90" s="35"/>
      <c r="I90" s="24"/>
      <c r="J90" s="24" t="s">
        <v>296</v>
      </c>
      <c r="K90" s="24" t="s">
        <v>297</v>
      </c>
      <c r="L90" s="24" t="s">
        <v>265</v>
      </c>
    </row>
    <row r="91" spans="1:15" x14ac:dyDescent="0.25">
      <c r="A91" s="9">
        <v>44378</v>
      </c>
      <c r="B91" s="6" t="s">
        <v>134</v>
      </c>
      <c r="C91" s="6" t="s">
        <v>118</v>
      </c>
      <c r="D91" s="7">
        <v>5000000</v>
      </c>
      <c r="E91" s="7" t="str">
        <f t="shared" si="10"/>
        <v>0</v>
      </c>
      <c r="F91" s="7">
        <f t="shared" si="8"/>
        <v>5000000</v>
      </c>
      <c r="G91" s="7">
        <f t="shared" si="9"/>
        <v>65245397</v>
      </c>
      <c r="H91" s="35"/>
      <c r="I91" s="24"/>
      <c r="J91" s="24" t="s">
        <v>296</v>
      </c>
      <c r="K91" s="24" t="s">
        <v>297</v>
      </c>
      <c r="L91" s="24" t="s">
        <v>265</v>
      </c>
    </row>
    <row r="92" spans="1:15" x14ac:dyDescent="0.25">
      <c r="A92" s="9">
        <v>44378</v>
      </c>
      <c r="B92" s="6" t="s">
        <v>134</v>
      </c>
      <c r="C92" s="6" t="s">
        <v>118</v>
      </c>
      <c r="D92" s="7">
        <v>2338648</v>
      </c>
      <c r="E92" s="7" t="str">
        <f t="shared" si="10"/>
        <v>0</v>
      </c>
      <c r="F92" s="7">
        <f t="shared" si="8"/>
        <v>2338648</v>
      </c>
      <c r="G92" s="7">
        <f t="shared" si="9"/>
        <v>67584045</v>
      </c>
      <c r="H92" s="35"/>
      <c r="I92" s="24"/>
      <c r="J92" s="24" t="s">
        <v>296</v>
      </c>
      <c r="K92" s="24" t="s">
        <v>297</v>
      </c>
      <c r="L92" s="24" t="s">
        <v>265</v>
      </c>
    </row>
    <row r="93" spans="1:15" hidden="1" x14ac:dyDescent="0.25">
      <c r="A93" s="9">
        <v>44378</v>
      </c>
      <c r="B93" s="6" t="s">
        <v>135</v>
      </c>
      <c r="C93" s="6" t="s">
        <v>76</v>
      </c>
      <c r="D93" s="7">
        <v>-35000</v>
      </c>
      <c r="E93" s="7">
        <f t="shared" si="10"/>
        <v>35000</v>
      </c>
      <c r="F93" s="7" t="str">
        <f t="shared" si="8"/>
        <v>0</v>
      </c>
      <c r="G93" s="7">
        <f t="shared" si="9"/>
        <v>67549045</v>
      </c>
      <c r="H93" s="64"/>
      <c r="I93" s="64"/>
      <c r="J93" s="24" t="s">
        <v>325</v>
      </c>
      <c r="K93" s="24" t="s">
        <v>260</v>
      </c>
      <c r="L93" s="24" t="s">
        <v>258</v>
      </c>
    </row>
    <row r="94" spans="1:15" hidden="1" x14ac:dyDescent="0.25">
      <c r="A94" s="9">
        <v>44378</v>
      </c>
      <c r="B94" s="6" t="s">
        <v>136</v>
      </c>
      <c r="C94" s="6" t="s">
        <v>81</v>
      </c>
      <c r="D94" s="7">
        <v>-36440</v>
      </c>
      <c r="E94" s="7">
        <f t="shared" si="10"/>
        <v>36440</v>
      </c>
      <c r="F94" s="7" t="str">
        <f t="shared" si="8"/>
        <v>0</v>
      </c>
      <c r="G94" s="7">
        <f t="shared" si="9"/>
        <v>67512605</v>
      </c>
      <c r="H94" s="64"/>
      <c r="I94" s="64"/>
      <c r="J94" s="24" t="s">
        <v>253</v>
      </c>
      <c r="K94" s="24" t="s">
        <v>254</v>
      </c>
      <c r="L94" s="24"/>
    </row>
    <row r="95" spans="1:15" hidden="1" x14ac:dyDescent="0.25">
      <c r="A95" s="14">
        <v>44378</v>
      </c>
      <c r="B95" s="15" t="s">
        <v>136</v>
      </c>
      <c r="C95" s="15" t="s">
        <v>124</v>
      </c>
      <c r="D95" s="16">
        <v>-6833</v>
      </c>
      <c r="E95" s="16">
        <f t="shared" si="10"/>
        <v>6833</v>
      </c>
      <c r="F95" s="16" t="str">
        <f t="shared" si="8"/>
        <v>0</v>
      </c>
      <c r="G95" s="16">
        <f t="shared" si="9"/>
        <v>67505772</v>
      </c>
      <c r="H95" s="58" t="s">
        <v>647</v>
      </c>
      <c r="I95" s="59" t="s">
        <v>652</v>
      </c>
      <c r="J95" s="25" t="s">
        <v>598</v>
      </c>
      <c r="K95" s="25" t="s">
        <v>599</v>
      </c>
      <c r="L95" s="25" t="s">
        <v>299</v>
      </c>
    </row>
    <row r="96" spans="1:15" hidden="1" x14ac:dyDescent="0.25">
      <c r="A96" s="9">
        <v>44378</v>
      </c>
      <c r="B96" s="6" t="s">
        <v>137</v>
      </c>
      <c r="C96" s="6" t="s">
        <v>95</v>
      </c>
      <c r="D96" s="7">
        <v>-190000</v>
      </c>
      <c r="E96" s="7">
        <f t="shared" si="10"/>
        <v>190000</v>
      </c>
      <c r="F96" s="7" t="str">
        <f t="shared" si="8"/>
        <v>0</v>
      </c>
      <c r="G96" s="7">
        <f t="shared" si="9"/>
        <v>67315772</v>
      </c>
      <c r="H96" s="64"/>
      <c r="I96" s="64"/>
      <c r="J96" s="24" t="s">
        <v>261</v>
      </c>
      <c r="K96" s="24" t="s">
        <v>257</v>
      </c>
      <c r="L96" s="24" t="s">
        <v>258</v>
      </c>
      <c r="M96" s="4">
        <v>44407</v>
      </c>
      <c r="N96" s="2">
        <v>67315772</v>
      </c>
      <c r="O96" s="2">
        <f>+G96-N96</f>
        <v>0</v>
      </c>
    </row>
    <row r="97" spans="1:12" hidden="1" x14ac:dyDescent="0.25">
      <c r="A97" s="9">
        <v>44409</v>
      </c>
      <c r="B97" s="6" t="s">
        <v>146</v>
      </c>
      <c r="C97" s="6" t="s">
        <v>138</v>
      </c>
      <c r="D97" s="7">
        <v>500000</v>
      </c>
      <c r="E97" s="7" t="str">
        <f t="shared" si="10"/>
        <v>0</v>
      </c>
      <c r="F97" s="7">
        <f t="shared" ref="F97:F114" si="11">+IF(D97&lt;0,"0",D97)</f>
        <v>500000</v>
      </c>
      <c r="G97" s="7">
        <f t="shared" ref="G97:G114" si="12">+F97-E97+G96</f>
        <v>67815772</v>
      </c>
      <c r="H97" s="35"/>
      <c r="I97" s="24"/>
      <c r="J97" s="24"/>
      <c r="K97" s="24" t="s">
        <v>318</v>
      </c>
      <c r="L97" s="24" t="s">
        <v>265</v>
      </c>
    </row>
    <row r="98" spans="1:12" hidden="1" x14ac:dyDescent="0.25">
      <c r="A98" s="9">
        <v>44409</v>
      </c>
      <c r="B98" s="6" t="s">
        <v>146</v>
      </c>
      <c r="C98" s="6" t="s">
        <v>139</v>
      </c>
      <c r="D98" s="7">
        <v>-150000</v>
      </c>
      <c r="E98" s="7">
        <f t="shared" si="10"/>
        <v>150000</v>
      </c>
      <c r="F98" s="7" t="str">
        <f t="shared" si="11"/>
        <v>0</v>
      </c>
      <c r="G98" s="7">
        <f t="shared" si="12"/>
        <v>67665772</v>
      </c>
      <c r="H98" s="64"/>
      <c r="I98" s="64"/>
      <c r="J98" s="24" t="s">
        <v>344</v>
      </c>
      <c r="K98" s="24" t="s">
        <v>343</v>
      </c>
      <c r="L98" s="24" t="s">
        <v>300</v>
      </c>
    </row>
    <row r="99" spans="1:12" hidden="1" x14ac:dyDescent="0.25">
      <c r="A99" s="9">
        <v>44409</v>
      </c>
      <c r="B99" s="6" t="s">
        <v>147</v>
      </c>
      <c r="C99" s="6" t="s">
        <v>111</v>
      </c>
      <c r="D99" s="7">
        <v>16400000</v>
      </c>
      <c r="E99" s="7" t="str">
        <f t="shared" si="10"/>
        <v>0</v>
      </c>
      <c r="F99" s="7">
        <f t="shared" si="11"/>
        <v>16400000</v>
      </c>
      <c r="G99" s="7">
        <f t="shared" si="12"/>
        <v>84065772</v>
      </c>
      <c r="H99" s="35"/>
      <c r="I99" s="24"/>
      <c r="J99" s="24"/>
      <c r="K99" s="24" t="s">
        <v>317</v>
      </c>
      <c r="L99" s="24" t="s">
        <v>265</v>
      </c>
    </row>
    <row r="100" spans="1:12" hidden="1" x14ac:dyDescent="0.25">
      <c r="A100" s="14">
        <v>44409</v>
      </c>
      <c r="B100" s="15" t="s">
        <v>147</v>
      </c>
      <c r="C100" s="15" t="s">
        <v>140</v>
      </c>
      <c r="D100" s="16">
        <v>-65000</v>
      </c>
      <c r="E100" s="16">
        <f t="shared" si="10"/>
        <v>65000</v>
      </c>
      <c r="F100" s="16" t="str">
        <f t="shared" si="11"/>
        <v>0</v>
      </c>
      <c r="G100" s="16">
        <f t="shared" si="12"/>
        <v>84000772</v>
      </c>
      <c r="H100" s="58" t="s">
        <v>665</v>
      </c>
      <c r="I100" s="58" t="s">
        <v>633</v>
      </c>
      <c r="J100" s="25" t="s">
        <v>325</v>
      </c>
      <c r="K100" s="25" t="s">
        <v>260</v>
      </c>
      <c r="L100" s="25" t="s">
        <v>258</v>
      </c>
    </row>
    <row r="101" spans="1:12" hidden="1" x14ac:dyDescent="0.25">
      <c r="A101" s="14">
        <v>44409</v>
      </c>
      <c r="B101" s="15" t="s">
        <v>148</v>
      </c>
      <c r="C101" s="15" t="s">
        <v>76</v>
      </c>
      <c r="D101" s="16">
        <v>-30000</v>
      </c>
      <c r="E101" s="16">
        <f t="shared" si="10"/>
        <v>30000</v>
      </c>
      <c r="F101" s="16" t="str">
        <f t="shared" si="11"/>
        <v>0</v>
      </c>
      <c r="G101" s="16">
        <f t="shared" si="12"/>
        <v>83970772</v>
      </c>
      <c r="H101" s="58" t="s">
        <v>665</v>
      </c>
      <c r="I101" s="58" t="s">
        <v>634</v>
      </c>
      <c r="J101" s="25" t="s">
        <v>325</v>
      </c>
      <c r="K101" s="25" t="s">
        <v>260</v>
      </c>
      <c r="L101" s="25" t="s">
        <v>258</v>
      </c>
    </row>
    <row r="102" spans="1:12" hidden="1" x14ac:dyDescent="0.25">
      <c r="A102" s="9">
        <v>44409</v>
      </c>
      <c r="B102" s="6" t="s">
        <v>149</v>
      </c>
      <c r="C102" s="6" t="s">
        <v>138</v>
      </c>
      <c r="D102" s="7">
        <v>14400000</v>
      </c>
      <c r="E102" s="7" t="str">
        <f t="shared" si="10"/>
        <v>0</v>
      </c>
      <c r="F102" s="7">
        <f t="shared" si="11"/>
        <v>14400000</v>
      </c>
      <c r="G102" s="7">
        <f t="shared" si="12"/>
        <v>98370772</v>
      </c>
      <c r="H102" s="35"/>
      <c r="I102" s="24"/>
      <c r="J102" s="24"/>
      <c r="K102" s="24" t="s">
        <v>318</v>
      </c>
      <c r="L102" s="24" t="s">
        <v>265</v>
      </c>
    </row>
    <row r="103" spans="1:12" hidden="1" x14ac:dyDescent="0.25">
      <c r="A103" s="9">
        <v>44409</v>
      </c>
      <c r="B103" s="6" t="s">
        <v>150</v>
      </c>
      <c r="C103" s="6" t="s">
        <v>111</v>
      </c>
      <c r="D103" s="7">
        <v>10400000</v>
      </c>
      <c r="E103" s="7" t="str">
        <f t="shared" si="10"/>
        <v>0</v>
      </c>
      <c r="F103" s="7">
        <f t="shared" si="11"/>
        <v>10400000</v>
      </c>
      <c r="G103" s="7">
        <f t="shared" si="12"/>
        <v>108770772</v>
      </c>
      <c r="H103" s="35"/>
      <c r="I103" s="24"/>
      <c r="J103" s="24"/>
      <c r="K103" s="24" t="s">
        <v>317</v>
      </c>
      <c r="L103" s="24" t="s">
        <v>265</v>
      </c>
    </row>
    <row r="104" spans="1:12" hidden="1" x14ac:dyDescent="0.25">
      <c r="A104" s="14">
        <v>44409</v>
      </c>
      <c r="B104" s="15" t="s">
        <v>150</v>
      </c>
      <c r="C104" s="15" t="s">
        <v>121</v>
      </c>
      <c r="D104" s="16">
        <v>-259420</v>
      </c>
      <c r="E104" s="16">
        <f t="shared" si="10"/>
        <v>259420</v>
      </c>
      <c r="F104" s="16" t="str">
        <f t="shared" si="11"/>
        <v>0</v>
      </c>
      <c r="G104" s="16">
        <f t="shared" si="12"/>
        <v>108511352</v>
      </c>
      <c r="H104" s="58" t="s">
        <v>647</v>
      </c>
      <c r="I104" s="59" t="s">
        <v>703</v>
      </c>
      <c r="J104" s="25" t="s">
        <v>363</v>
      </c>
      <c r="K104" s="25" t="s">
        <v>362</v>
      </c>
      <c r="L104" s="25" t="s">
        <v>687</v>
      </c>
    </row>
    <row r="105" spans="1:12" hidden="1" x14ac:dyDescent="0.25">
      <c r="A105" s="9">
        <v>44409</v>
      </c>
      <c r="B105" s="6" t="s">
        <v>151</v>
      </c>
      <c r="C105" s="6" t="s">
        <v>141</v>
      </c>
      <c r="D105" s="7">
        <v>-1400</v>
      </c>
      <c r="E105" s="7">
        <f t="shared" si="10"/>
        <v>1400</v>
      </c>
      <c r="F105" s="7" t="str">
        <f t="shared" si="11"/>
        <v>0</v>
      </c>
      <c r="G105" s="7">
        <f t="shared" si="12"/>
        <v>108509952</v>
      </c>
      <c r="H105" s="64"/>
      <c r="I105" s="64"/>
      <c r="J105" s="24"/>
      <c r="K105" s="24" t="s">
        <v>309</v>
      </c>
      <c r="L105" s="24" t="s">
        <v>304</v>
      </c>
    </row>
    <row r="106" spans="1:12" hidden="1" x14ac:dyDescent="0.25">
      <c r="A106" s="9">
        <v>44409</v>
      </c>
      <c r="B106" s="6" t="s">
        <v>152</v>
      </c>
      <c r="C106" s="6" t="s">
        <v>138</v>
      </c>
      <c r="D106" s="7">
        <v>500000</v>
      </c>
      <c r="E106" s="7" t="str">
        <f t="shared" si="10"/>
        <v>0</v>
      </c>
      <c r="F106" s="7">
        <f t="shared" si="11"/>
        <v>500000</v>
      </c>
      <c r="G106" s="7">
        <f t="shared" si="12"/>
        <v>109009952</v>
      </c>
      <c r="H106" s="35"/>
      <c r="I106" s="24"/>
      <c r="J106" s="24"/>
      <c r="K106" s="24" t="s">
        <v>318</v>
      </c>
      <c r="L106" s="24" t="s">
        <v>265</v>
      </c>
    </row>
    <row r="107" spans="1:12" hidden="1" x14ac:dyDescent="0.25">
      <c r="A107" s="9">
        <v>44409</v>
      </c>
      <c r="B107" s="6" t="s">
        <v>153</v>
      </c>
      <c r="C107" s="6" t="s">
        <v>87</v>
      </c>
      <c r="D107" s="7">
        <v>-153160</v>
      </c>
      <c r="E107" s="7">
        <f t="shared" si="10"/>
        <v>153160</v>
      </c>
      <c r="F107" s="7" t="str">
        <f t="shared" si="11"/>
        <v>0</v>
      </c>
      <c r="G107" s="7">
        <f t="shared" si="12"/>
        <v>108856792</v>
      </c>
      <c r="H107" s="64"/>
      <c r="I107" s="64"/>
      <c r="J107" s="24" t="s">
        <v>329</v>
      </c>
      <c r="K107" s="24" t="s">
        <v>330</v>
      </c>
      <c r="L107" s="24" t="s">
        <v>705</v>
      </c>
    </row>
    <row r="108" spans="1:12" hidden="1" x14ac:dyDescent="0.25">
      <c r="A108" s="9">
        <v>44409</v>
      </c>
      <c r="B108" s="6" t="s">
        <v>154</v>
      </c>
      <c r="C108" s="6" t="s">
        <v>142</v>
      </c>
      <c r="D108" s="7">
        <v>-700000</v>
      </c>
      <c r="E108" s="7">
        <f t="shared" si="10"/>
        <v>700000</v>
      </c>
      <c r="F108" s="7" t="str">
        <f t="shared" si="11"/>
        <v>0</v>
      </c>
      <c r="G108" s="7">
        <f t="shared" si="12"/>
        <v>108156792</v>
      </c>
      <c r="H108" s="64"/>
      <c r="I108" s="64"/>
      <c r="J108" s="24" t="s">
        <v>350</v>
      </c>
      <c r="K108" s="24" t="s">
        <v>349</v>
      </c>
      <c r="L108" s="24"/>
    </row>
    <row r="109" spans="1:12" hidden="1" x14ac:dyDescent="0.25">
      <c r="A109" s="14">
        <v>44409</v>
      </c>
      <c r="B109" s="15" t="s">
        <v>155</v>
      </c>
      <c r="C109" s="15" t="s">
        <v>124</v>
      </c>
      <c r="D109" s="16">
        <v>-4565</v>
      </c>
      <c r="E109" s="16">
        <f t="shared" si="10"/>
        <v>4565</v>
      </c>
      <c r="F109" s="16" t="str">
        <f t="shared" si="11"/>
        <v>0</v>
      </c>
      <c r="G109" s="16">
        <f t="shared" si="12"/>
        <v>108152227</v>
      </c>
      <c r="H109" s="58" t="s">
        <v>647</v>
      </c>
      <c r="I109" s="59" t="s">
        <v>656</v>
      </c>
      <c r="J109" s="25" t="s">
        <v>598</v>
      </c>
      <c r="K109" s="25" t="s">
        <v>599</v>
      </c>
      <c r="L109" s="25" t="s">
        <v>299</v>
      </c>
    </row>
    <row r="110" spans="1:12" hidden="1" x14ac:dyDescent="0.25">
      <c r="A110" s="9">
        <v>44409</v>
      </c>
      <c r="B110" s="6" t="s">
        <v>156</v>
      </c>
      <c r="C110" s="6" t="s">
        <v>111</v>
      </c>
      <c r="D110" s="7">
        <v>13400000</v>
      </c>
      <c r="E110" s="7" t="str">
        <f t="shared" si="10"/>
        <v>0</v>
      </c>
      <c r="F110" s="7">
        <f t="shared" si="11"/>
        <v>13400000</v>
      </c>
      <c r="G110" s="7">
        <f t="shared" si="12"/>
        <v>121552227</v>
      </c>
      <c r="H110" s="35"/>
      <c r="I110" s="24"/>
      <c r="J110" s="24"/>
      <c r="K110" s="24" t="s">
        <v>317</v>
      </c>
      <c r="L110" s="24" t="s">
        <v>265</v>
      </c>
    </row>
    <row r="111" spans="1:12" hidden="1" x14ac:dyDescent="0.25">
      <c r="A111" s="9">
        <v>44409</v>
      </c>
      <c r="B111" s="6" t="s">
        <v>156</v>
      </c>
      <c r="C111" s="6" t="s">
        <v>143</v>
      </c>
      <c r="D111" s="7">
        <v>500000</v>
      </c>
      <c r="E111" s="7" t="str">
        <f t="shared" si="10"/>
        <v>0</v>
      </c>
      <c r="F111" s="7">
        <f t="shared" si="11"/>
        <v>500000</v>
      </c>
      <c r="G111" s="7">
        <f t="shared" si="12"/>
        <v>122052227</v>
      </c>
      <c r="H111" s="35"/>
      <c r="I111" s="24"/>
      <c r="J111" s="24" t="s">
        <v>271</v>
      </c>
      <c r="K111" s="24" t="s">
        <v>270</v>
      </c>
      <c r="L111" s="24" t="s">
        <v>265</v>
      </c>
    </row>
    <row r="112" spans="1:12" hidden="1" x14ac:dyDescent="0.25">
      <c r="A112" s="9">
        <v>44409</v>
      </c>
      <c r="B112" s="6" t="s">
        <v>157</v>
      </c>
      <c r="C112" s="6" t="s">
        <v>111</v>
      </c>
      <c r="D112" s="7">
        <v>10400000</v>
      </c>
      <c r="E112" s="7" t="str">
        <f t="shared" si="10"/>
        <v>0</v>
      </c>
      <c r="F112" s="7">
        <f t="shared" si="11"/>
        <v>10400000</v>
      </c>
      <c r="G112" s="7">
        <f t="shared" si="12"/>
        <v>132452227</v>
      </c>
      <c r="H112" s="35"/>
      <c r="I112" s="24"/>
      <c r="J112" s="24"/>
      <c r="K112" s="24" t="s">
        <v>317</v>
      </c>
      <c r="L112" s="24" t="s">
        <v>265</v>
      </c>
    </row>
    <row r="113" spans="1:15" hidden="1" x14ac:dyDescent="0.25">
      <c r="A113" s="9">
        <v>44409</v>
      </c>
      <c r="B113" s="6" t="s">
        <v>157</v>
      </c>
      <c r="C113" s="6" t="s">
        <v>144</v>
      </c>
      <c r="D113" s="7">
        <v>500000</v>
      </c>
      <c r="E113" s="7" t="str">
        <f t="shared" si="10"/>
        <v>0</v>
      </c>
      <c r="F113" s="7">
        <f t="shared" si="11"/>
        <v>500000</v>
      </c>
      <c r="G113" s="7">
        <f t="shared" si="12"/>
        <v>132952227</v>
      </c>
      <c r="H113" s="35"/>
      <c r="I113" s="24"/>
      <c r="J113" s="24" t="s">
        <v>285</v>
      </c>
      <c r="K113" s="24" t="s">
        <v>286</v>
      </c>
      <c r="L113" s="24" t="s">
        <v>265</v>
      </c>
    </row>
    <row r="114" spans="1:15" hidden="1" x14ac:dyDescent="0.25">
      <c r="A114" s="9">
        <v>44409</v>
      </c>
      <c r="B114" s="6" t="s">
        <v>157</v>
      </c>
      <c r="C114" s="6" t="s">
        <v>145</v>
      </c>
      <c r="D114" s="7">
        <v>500000</v>
      </c>
      <c r="E114" s="7" t="str">
        <f t="shared" si="10"/>
        <v>0</v>
      </c>
      <c r="F114" s="7">
        <f t="shared" si="11"/>
        <v>500000</v>
      </c>
      <c r="G114" s="7">
        <f t="shared" si="12"/>
        <v>133452227</v>
      </c>
      <c r="H114" s="35"/>
      <c r="I114" s="24"/>
      <c r="J114" s="24" t="s">
        <v>291</v>
      </c>
      <c r="K114" s="24"/>
      <c r="L114" s="24"/>
      <c r="M114" s="4">
        <v>44439</v>
      </c>
      <c r="N114" s="2">
        <v>133452227</v>
      </c>
      <c r="O114" s="2">
        <f>+G114-N114</f>
        <v>0</v>
      </c>
    </row>
    <row r="115" spans="1:15" hidden="1" x14ac:dyDescent="0.25">
      <c r="A115" s="9">
        <v>44440</v>
      </c>
      <c r="B115" s="6" t="s">
        <v>171</v>
      </c>
      <c r="C115" s="6" t="s">
        <v>158</v>
      </c>
      <c r="D115" s="7">
        <v>250000</v>
      </c>
      <c r="E115" s="7" t="str">
        <f t="shared" si="10"/>
        <v>0</v>
      </c>
      <c r="F115" s="7">
        <f t="shared" ref="F115:F162" si="13">+IF(D115&lt;0,"0",D115)</f>
        <v>250000</v>
      </c>
      <c r="G115" s="7">
        <f t="shared" ref="G115:G162" si="14">+F115-E115+G114</f>
        <v>133702227</v>
      </c>
      <c r="H115" s="35"/>
      <c r="I115" s="24"/>
      <c r="J115" s="24" t="s">
        <v>283</v>
      </c>
      <c r="K115" s="24" t="s">
        <v>282</v>
      </c>
      <c r="L115" s="24" t="s">
        <v>265</v>
      </c>
    </row>
    <row r="116" spans="1:15" hidden="1" x14ac:dyDescent="0.25">
      <c r="A116" s="9">
        <v>44440</v>
      </c>
      <c r="B116" s="6" t="s">
        <v>172</v>
      </c>
      <c r="C116" s="6" t="s">
        <v>159</v>
      </c>
      <c r="D116" s="7">
        <v>250000</v>
      </c>
      <c r="E116" s="7" t="str">
        <f t="shared" si="10"/>
        <v>0</v>
      </c>
      <c r="F116" s="7">
        <f t="shared" si="13"/>
        <v>250000</v>
      </c>
      <c r="G116" s="7">
        <f t="shared" si="14"/>
        <v>133952227</v>
      </c>
      <c r="H116" s="35"/>
      <c r="I116" s="24"/>
      <c r="J116" s="24" t="s">
        <v>251</v>
      </c>
      <c r="K116" s="24" t="s">
        <v>252</v>
      </c>
      <c r="L116" s="24" t="s">
        <v>265</v>
      </c>
    </row>
    <row r="117" spans="1:15" hidden="1" x14ac:dyDescent="0.25">
      <c r="A117" s="9">
        <v>44440</v>
      </c>
      <c r="B117" s="6" t="s">
        <v>172</v>
      </c>
      <c r="C117" s="6" t="s">
        <v>158</v>
      </c>
      <c r="D117" s="7">
        <v>250000</v>
      </c>
      <c r="E117" s="7" t="str">
        <f t="shared" si="10"/>
        <v>0</v>
      </c>
      <c r="F117" s="7">
        <f t="shared" si="13"/>
        <v>250000</v>
      </c>
      <c r="G117" s="7">
        <f t="shared" si="14"/>
        <v>134202227</v>
      </c>
      <c r="H117" s="35"/>
      <c r="I117" s="24"/>
      <c r="J117" s="24" t="s">
        <v>283</v>
      </c>
      <c r="K117" s="24" t="s">
        <v>282</v>
      </c>
      <c r="L117" s="24" t="s">
        <v>265</v>
      </c>
    </row>
    <row r="118" spans="1:15" hidden="1" x14ac:dyDescent="0.25">
      <c r="A118" s="9">
        <v>44440</v>
      </c>
      <c r="B118" s="6" t="s">
        <v>173</v>
      </c>
      <c r="C118" s="6" t="s">
        <v>159</v>
      </c>
      <c r="D118" s="7">
        <v>5000000</v>
      </c>
      <c r="E118" s="7" t="str">
        <f t="shared" si="10"/>
        <v>0</v>
      </c>
      <c r="F118" s="7">
        <f t="shared" si="13"/>
        <v>5000000</v>
      </c>
      <c r="G118" s="7">
        <f t="shared" si="14"/>
        <v>139202227</v>
      </c>
      <c r="H118" s="35"/>
      <c r="I118" s="24"/>
      <c r="J118" s="24" t="s">
        <v>251</v>
      </c>
      <c r="K118" s="24" t="s">
        <v>252</v>
      </c>
      <c r="L118" s="24" t="s">
        <v>265</v>
      </c>
    </row>
    <row r="119" spans="1:15" hidden="1" x14ac:dyDescent="0.25">
      <c r="A119" s="14">
        <v>44440</v>
      </c>
      <c r="B119" s="15" t="s">
        <v>173</v>
      </c>
      <c r="C119" s="15" t="s">
        <v>121</v>
      </c>
      <c r="D119" s="16">
        <v>-1109080</v>
      </c>
      <c r="E119" s="16">
        <f t="shared" si="10"/>
        <v>1109080</v>
      </c>
      <c r="F119" s="16" t="str">
        <f t="shared" si="13"/>
        <v>0</v>
      </c>
      <c r="G119" s="16">
        <f t="shared" si="14"/>
        <v>138093147</v>
      </c>
      <c r="H119" s="58" t="s">
        <v>647</v>
      </c>
      <c r="I119" s="59" t="s">
        <v>658</v>
      </c>
      <c r="J119" s="25" t="s">
        <v>363</v>
      </c>
      <c r="K119" s="25" t="s">
        <v>362</v>
      </c>
      <c r="L119" s="25" t="s">
        <v>687</v>
      </c>
    </row>
    <row r="120" spans="1:15" hidden="1" x14ac:dyDescent="0.25">
      <c r="A120" s="9">
        <v>44440</v>
      </c>
      <c r="B120" s="6" t="s">
        <v>174</v>
      </c>
      <c r="C120" s="6" t="s">
        <v>159</v>
      </c>
      <c r="D120" s="7">
        <v>5000000</v>
      </c>
      <c r="E120" s="7" t="str">
        <f t="shared" si="10"/>
        <v>0</v>
      </c>
      <c r="F120" s="7">
        <f t="shared" si="13"/>
        <v>5000000</v>
      </c>
      <c r="G120" s="7">
        <f t="shared" si="14"/>
        <v>143093147</v>
      </c>
      <c r="H120" s="35"/>
      <c r="I120" s="24"/>
      <c r="J120" s="24" t="s">
        <v>251</v>
      </c>
      <c r="K120" s="24" t="s">
        <v>252</v>
      </c>
      <c r="L120" s="24" t="s">
        <v>265</v>
      </c>
    </row>
    <row r="121" spans="1:15" hidden="1" x14ac:dyDescent="0.25">
      <c r="A121" s="9">
        <v>44440</v>
      </c>
      <c r="B121" s="6" t="s">
        <v>174</v>
      </c>
      <c r="C121" s="6" t="s">
        <v>159</v>
      </c>
      <c r="D121" s="7">
        <v>5000000</v>
      </c>
      <c r="E121" s="7" t="str">
        <f t="shared" si="10"/>
        <v>0</v>
      </c>
      <c r="F121" s="7">
        <f t="shared" si="13"/>
        <v>5000000</v>
      </c>
      <c r="G121" s="7">
        <f t="shared" si="14"/>
        <v>148093147</v>
      </c>
      <c r="H121" s="35"/>
      <c r="I121" s="24"/>
      <c r="J121" s="24" t="s">
        <v>251</v>
      </c>
      <c r="K121" s="24" t="s">
        <v>252</v>
      </c>
      <c r="L121" s="24" t="s">
        <v>265</v>
      </c>
    </row>
    <row r="122" spans="1:15" hidden="1" x14ac:dyDescent="0.25">
      <c r="A122" s="9">
        <v>44440</v>
      </c>
      <c r="B122" s="6" t="s">
        <v>174</v>
      </c>
      <c r="C122" s="6" t="s">
        <v>118</v>
      </c>
      <c r="D122" s="7">
        <v>5000000</v>
      </c>
      <c r="E122" s="7" t="str">
        <f t="shared" si="10"/>
        <v>0</v>
      </c>
      <c r="F122" s="7">
        <f t="shared" si="13"/>
        <v>5000000</v>
      </c>
      <c r="G122" s="7">
        <f t="shared" si="14"/>
        <v>153093147</v>
      </c>
      <c r="H122" s="35"/>
      <c r="I122" s="24"/>
      <c r="J122" s="24" t="s">
        <v>296</v>
      </c>
      <c r="K122" s="24" t="s">
        <v>297</v>
      </c>
      <c r="L122" s="24" t="s">
        <v>265</v>
      </c>
    </row>
    <row r="123" spans="1:15" hidden="1" x14ac:dyDescent="0.25">
      <c r="A123" s="9">
        <v>44440</v>
      </c>
      <c r="B123" s="6" t="s">
        <v>174</v>
      </c>
      <c r="C123" s="6" t="s">
        <v>118</v>
      </c>
      <c r="D123" s="7">
        <v>5000000</v>
      </c>
      <c r="E123" s="7" t="str">
        <f t="shared" si="10"/>
        <v>0</v>
      </c>
      <c r="F123" s="7">
        <f t="shared" si="13"/>
        <v>5000000</v>
      </c>
      <c r="G123" s="7">
        <f t="shared" si="14"/>
        <v>158093147</v>
      </c>
      <c r="H123" s="35"/>
      <c r="I123" s="24"/>
      <c r="J123" s="24" t="s">
        <v>296</v>
      </c>
      <c r="K123" s="24" t="s">
        <v>297</v>
      </c>
      <c r="L123" s="24" t="s">
        <v>265</v>
      </c>
    </row>
    <row r="124" spans="1:15" hidden="1" x14ac:dyDescent="0.25">
      <c r="A124" s="9">
        <v>44440</v>
      </c>
      <c r="B124" s="6" t="s">
        <v>174</v>
      </c>
      <c r="C124" s="6" t="s">
        <v>118</v>
      </c>
      <c r="D124" s="7">
        <v>5000000</v>
      </c>
      <c r="E124" s="7" t="str">
        <f t="shared" si="10"/>
        <v>0</v>
      </c>
      <c r="F124" s="7">
        <f t="shared" si="13"/>
        <v>5000000</v>
      </c>
      <c r="G124" s="7">
        <f t="shared" si="14"/>
        <v>163093147</v>
      </c>
      <c r="H124" s="35"/>
      <c r="I124" s="24"/>
      <c r="J124" s="24" t="s">
        <v>296</v>
      </c>
      <c r="K124" s="24" t="s">
        <v>297</v>
      </c>
      <c r="L124" s="24" t="s">
        <v>265</v>
      </c>
    </row>
    <row r="125" spans="1:15" hidden="1" x14ac:dyDescent="0.25">
      <c r="A125" s="9">
        <v>44440</v>
      </c>
      <c r="B125" s="6" t="s">
        <v>174</v>
      </c>
      <c r="C125" s="6" t="s">
        <v>118</v>
      </c>
      <c r="D125" s="7">
        <v>5000000</v>
      </c>
      <c r="E125" s="7" t="str">
        <f t="shared" si="10"/>
        <v>0</v>
      </c>
      <c r="F125" s="7">
        <f t="shared" si="13"/>
        <v>5000000</v>
      </c>
      <c r="G125" s="7">
        <f t="shared" si="14"/>
        <v>168093147</v>
      </c>
      <c r="H125" s="35"/>
      <c r="I125" s="24"/>
      <c r="J125" s="24" t="s">
        <v>296</v>
      </c>
      <c r="K125" s="24" t="s">
        <v>297</v>
      </c>
      <c r="L125" s="24" t="s">
        <v>265</v>
      </c>
    </row>
    <row r="126" spans="1:15" hidden="1" x14ac:dyDescent="0.25">
      <c r="A126" s="9">
        <v>44440</v>
      </c>
      <c r="B126" s="6" t="s">
        <v>174</v>
      </c>
      <c r="C126" s="6" t="s">
        <v>118</v>
      </c>
      <c r="D126" s="7">
        <v>5000000</v>
      </c>
      <c r="E126" s="7" t="str">
        <f t="shared" si="10"/>
        <v>0</v>
      </c>
      <c r="F126" s="7">
        <f t="shared" si="13"/>
        <v>5000000</v>
      </c>
      <c r="G126" s="7">
        <f t="shared" si="14"/>
        <v>173093147</v>
      </c>
      <c r="H126" s="35"/>
      <c r="I126" s="24"/>
      <c r="J126" s="24" t="s">
        <v>296</v>
      </c>
      <c r="K126" s="24" t="s">
        <v>297</v>
      </c>
      <c r="L126" s="24" t="s">
        <v>265</v>
      </c>
    </row>
    <row r="127" spans="1:15" hidden="1" x14ac:dyDescent="0.25">
      <c r="A127" s="9">
        <v>44440</v>
      </c>
      <c r="B127" s="6" t="s">
        <v>174</v>
      </c>
      <c r="C127" s="6" t="s">
        <v>118</v>
      </c>
      <c r="D127" s="7">
        <v>2578907</v>
      </c>
      <c r="E127" s="7" t="str">
        <f t="shared" si="10"/>
        <v>0</v>
      </c>
      <c r="F127" s="7">
        <f t="shared" si="13"/>
        <v>2578907</v>
      </c>
      <c r="G127" s="7">
        <f t="shared" si="14"/>
        <v>175672054</v>
      </c>
      <c r="H127" s="35"/>
      <c r="I127" s="24"/>
      <c r="J127" s="24" t="s">
        <v>296</v>
      </c>
      <c r="K127" s="24" t="s">
        <v>297</v>
      </c>
      <c r="L127" s="24" t="s">
        <v>265</v>
      </c>
    </row>
    <row r="128" spans="1:15" hidden="1" x14ac:dyDescent="0.25">
      <c r="A128" s="9">
        <v>44440</v>
      </c>
      <c r="B128" s="6" t="s">
        <v>174</v>
      </c>
      <c r="C128" s="6" t="s">
        <v>118</v>
      </c>
      <c r="D128" s="7">
        <v>2267500</v>
      </c>
      <c r="E128" s="7" t="str">
        <f t="shared" si="10"/>
        <v>0</v>
      </c>
      <c r="F128" s="7">
        <f t="shared" si="13"/>
        <v>2267500</v>
      </c>
      <c r="G128" s="7">
        <f t="shared" si="14"/>
        <v>177939554</v>
      </c>
      <c r="H128" s="35"/>
      <c r="I128" s="24"/>
      <c r="J128" s="24" t="s">
        <v>296</v>
      </c>
      <c r="K128" s="24" t="s">
        <v>297</v>
      </c>
      <c r="L128" s="24" t="s">
        <v>265</v>
      </c>
    </row>
    <row r="129" spans="1:12" hidden="1" x14ac:dyDescent="0.25">
      <c r="A129" s="9">
        <v>44440</v>
      </c>
      <c r="B129" s="6" t="s">
        <v>174</v>
      </c>
      <c r="C129" s="6" t="s">
        <v>79</v>
      </c>
      <c r="D129" s="7">
        <v>-13915</v>
      </c>
      <c r="E129" s="7">
        <f t="shared" si="10"/>
        <v>13915</v>
      </c>
      <c r="F129" s="7" t="str">
        <f t="shared" si="13"/>
        <v>0</v>
      </c>
      <c r="G129" s="7">
        <f t="shared" si="14"/>
        <v>177925639</v>
      </c>
      <c r="H129" s="64"/>
      <c r="I129" s="64"/>
      <c r="J129" s="24" t="s">
        <v>251</v>
      </c>
      <c r="K129" s="24" t="s">
        <v>252</v>
      </c>
      <c r="L129" s="24"/>
    </row>
    <row r="130" spans="1:12" hidden="1" x14ac:dyDescent="0.25">
      <c r="A130" s="9">
        <v>44440</v>
      </c>
      <c r="B130" s="6" t="s">
        <v>175</v>
      </c>
      <c r="C130" s="6" t="s">
        <v>160</v>
      </c>
      <c r="D130" s="7">
        <v>5000000</v>
      </c>
      <c r="E130" s="7" t="str">
        <f t="shared" si="10"/>
        <v>0</v>
      </c>
      <c r="F130" s="7">
        <f t="shared" si="13"/>
        <v>5000000</v>
      </c>
      <c r="G130" s="7">
        <f t="shared" si="14"/>
        <v>182925639</v>
      </c>
      <c r="H130" s="35"/>
      <c r="I130" s="24"/>
      <c r="J130" s="24"/>
      <c r="K130" s="24" t="s">
        <v>160</v>
      </c>
      <c r="L130" s="24" t="s">
        <v>265</v>
      </c>
    </row>
    <row r="131" spans="1:12" hidden="1" x14ac:dyDescent="0.25">
      <c r="A131" s="14">
        <v>44440</v>
      </c>
      <c r="B131" s="15" t="s">
        <v>175</v>
      </c>
      <c r="C131" s="15" t="s">
        <v>96</v>
      </c>
      <c r="D131" s="16">
        <v>-98000</v>
      </c>
      <c r="E131" s="16">
        <f t="shared" si="10"/>
        <v>98000</v>
      </c>
      <c r="F131" s="16" t="str">
        <f t="shared" si="13"/>
        <v>0</v>
      </c>
      <c r="G131" s="16">
        <f t="shared" si="14"/>
        <v>182827639</v>
      </c>
      <c r="H131" s="58" t="s">
        <v>647</v>
      </c>
      <c r="I131" s="58" t="s">
        <v>671</v>
      </c>
      <c r="J131" s="25" t="s">
        <v>332</v>
      </c>
      <c r="K131" s="25" t="s">
        <v>331</v>
      </c>
      <c r="L131" s="25" t="s">
        <v>333</v>
      </c>
    </row>
    <row r="132" spans="1:12" hidden="1" x14ac:dyDescent="0.25">
      <c r="A132" s="9">
        <v>44440</v>
      </c>
      <c r="B132" s="6" t="s">
        <v>176</v>
      </c>
      <c r="C132" s="6" t="s">
        <v>63</v>
      </c>
      <c r="D132" s="7">
        <v>-300000</v>
      </c>
      <c r="E132" s="7">
        <f t="shared" si="10"/>
        <v>300000</v>
      </c>
      <c r="F132" s="7" t="str">
        <f t="shared" si="13"/>
        <v>0</v>
      </c>
      <c r="G132" s="7">
        <f t="shared" si="14"/>
        <v>182527639</v>
      </c>
      <c r="H132" s="64"/>
      <c r="I132" s="64"/>
      <c r="J132" s="24"/>
      <c r="K132" s="24" t="s">
        <v>320</v>
      </c>
      <c r="L132" s="24" t="s">
        <v>300</v>
      </c>
    </row>
    <row r="133" spans="1:12" hidden="1" x14ac:dyDescent="0.25">
      <c r="A133" s="9">
        <v>44440</v>
      </c>
      <c r="B133" s="6" t="s">
        <v>176</v>
      </c>
      <c r="C133" s="6" t="s">
        <v>161</v>
      </c>
      <c r="D133" s="7">
        <v>-47066</v>
      </c>
      <c r="E133" s="7">
        <f t="shared" si="10"/>
        <v>47066</v>
      </c>
      <c r="F133" s="7" t="str">
        <f t="shared" si="13"/>
        <v>0</v>
      </c>
      <c r="G133" s="7">
        <f t="shared" si="14"/>
        <v>182480573</v>
      </c>
      <c r="H133" s="64"/>
      <c r="I133" s="64"/>
      <c r="J133" s="24"/>
      <c r="K133" s="24" t="s">
        <v>301</v>
      </c>
      <c r="L133" s="24" t="s">
        <v>302</v>
      </c>
    </row>
    <row r="134" spans="1:12" hidden="1" x14ac:dyDescent="0.25">
      <c r="A134" s="9">
        <v>44440</v>
      </c>
      <c r="B134" s="6" t="s">
        <v>176</v>
      </c>
      <c r="C134" s="6" t="s">
        <v>64</v>
      </c>
      <c r="D134" s="7">
        <v>-23006</v>
      </c>
      <c r="E134" s="7">
        <f t="shared" si="10"/>
        <v>23006</v>
      </c>
      <c r="F134" s="7" t="str">
        <f t="shared" si="13"/>
        <v>0</v>
      </c>
      <c r="G134" s="7">
        <f t="shared" si="14"/>
        <v>182457567</v>
      </c>
      <c r="H134" s="64"/>
      <c r="I134" s="64"/>
      <c r="J134" s="24"/>
      <c r="K134" s="24" t="s">
        <v>301</v>
      </c>
      <c r="L134" s="24" t="s">
        <v>302</v>
      </c>
    </row>
    <row r="135" spans="1:12" hidden="1" x14ac:dyDescent="0.25">
      <c r="A135" s="9">
        <v>44440</v>
      </c>
      <c r="B135" s="6" t="s">
        <v>176</v>
      </c>
      <c r="C135" s="6" t="s">
        <v>65</v>
      </c>
      <c r="D135" s="7">
        <v>-12300</v>
      </c>
      <c r="E135" s="7">
        <f t="shared" si="10"/>
        <v>12300</v>
      </c>
      <c r="F135" s="7" t="str">
        <f t="shared" si="13"/>
        <v>0</v>
      </c>
      <c r="G135" s="7">
        <f t="shared" si="14"/>
        <v>182445267</v>
      </c>
      <c r="H135" s="64"/>
      <c r="I135" s="64"/>
      <c r="J135" s="24"/>
      <c r="K135" s="24" t="s">
        <v>301</v>
      </c>
      <c r="L135" s="24" t="s">
        <v>304</v>
      </c>
    </row>
    <row r="136" spans="1:12" hidden="1" x14ac:dyDescent="0.25">
      <c r="A136" s="14">
        <v>44440</v>
      </c>
      <c r="B136" s="15" t="s">
        <v>176</v>
      </c>
      <c r="C136" s="15" t="s">
        <v>162</v>
      </c>
      <c r="D136" s="16">
        <v>-6895</v>
      </c>
      <c r="E136" s="16">
        <f t="shared" si="10"/>
        <v>6895</v>
      </c>
      <c r="F136" s="16" t="str">
        <f t="shared" si="13"/>
        <v>0</v>
      </c>
      <c r="G136" s="16">
        <f t="shared" si="14"/>
        <v>182438372</v>
      </c>
      <c r="H136" s="58" t="s">
        <v>647</v>
      </c>
      <c r="I136" s="59" t="s">
        <v>653</v>
      </c>
      <c r="J136" s="25" t="s">
        <v>582</v>
      </c>
      <c r="K136" s="25" t="s">
        <v>583</v>
      </c>
      <c r="L136" s="25" t="s">
        <v>315</v>
      </c>
    </row>
    <row r="137" spans="1:12" hidden="1" x14ac:dyDescent="0.25">
      <c r="A137" s="9">
        <v>44440</v>
      </c>
      <c r="B137" s="6" t="s">
        <v>176</v>
      </c>
      <c r="C137" s="6" t="s">
        <v>65</v>
      </c>
      <c r="D137" s="7">
        <v>-3950</v>
      </c>
      <c r="E137" s="7">
        <f t="shared" si="10"/>
        <v>3950</v>
      </c>
      <c r="F137" s="7" t="str">
        <f t="shared" si="13"/>
        <v>0</v>
      </c>
      <c r="G137" s="7">
        <f t="shared" si="14"/>
        <v>182434422</v>
      </c>
      <c r="H137" s="64"/>
      <c r="I137" s="64"/>
      <c r="J137" s="24"/>
      <c r="K137" s="24" t="s">
        <v>301</v>
      </c>
      <c r="L137" s="24" t="s">
        <v>304</v>
      </c>
    </row>
    <row r="138" spans="1:12" hidden="1" x14ac:dyDescent="0.25">
      <c r="A138" s="9">
        <v>44440</v>
      </c>
      <c r="B138" s="6" t="s">
        <v>177</v>
      </c>
      <c r="C138" s="6" t="s">
        <v>160</v>
      </c>
      <c r="D138" s="7">
        <v>550000</v>
      </c>
      <c r="E138" s="7" t="str">
        <f t="shared" si="10"/>
        <v>0</v>
      </c>
      <c r="F138" s="7">
        <f t="shared" si="13"/>
        <v>550000</v>
      </c>
      <c r="G138" s="7">
        <f t="shared" si="14"/>
        <v>182984422</v>
      </c>
      <c r="H138" s="35"/>
      <c r="I138" s="24"/>
      <c r="J138" s="24"/>
      <c r="K138" s="24" t="s">
        <v>160</v>
      </c>
      <c r="L138" s="24" t="s">
        <v>265</v>
      </c>
    </row>
    <row r="139" spans="1:12" hidden="1" x14ac:dyDescent="0.25">
      <c r="A139" s="9">
        <v>44440</v>
      </c>
      <c r="B139" s="6" t="s">
        <v>177</v>
      </c>
      <c r="C139" s="6" t="s">
        <v>163</v>
      </c>
      <c r="D139" s="7">
        <v>-29810</v>
      </c>
      <c r="E139" s="7">
        <f t="shared" si="10"/>
        <v>29810</v>
      </c>
      <c r="F139" s="7" t="str">
        <f t="shared" si="13"/>
        <v>0</v>
      </c>
      <c r="G139" s="7">
        <f t="shared" si="14"/>
        <v>182954612</v>
      </c>
      <c r="H139" s="64"/>
      <c r="I139" s="64"/>
      <c r="J139" s="24"/>
      <c r="K139" s="24" t="s">
        <v>306</v>
      </c>
      <c r="L139" s="24" t="s">
        <v>304</v>
      </c>
    </row>
    <row r="140" spans="1:12" hidden="1" x14ac:dyDescent="0.25">
      <c r="A140" s="9">
        <v>44440</v>
      </c>
      <c r="B140" s="6" t="s">
        <v>178</v>
      </c>
      <c r="C140" s="6" t="s">
        <v>164</v>
      </c>
      <c r="D140" s="7">
        <v>4970000</v>
      </c>
      <c r="E140" s="7" t="str">
        <f t="shared" si="10"/>
        <v>0</v>
      </c>
      <c r="F140" s="7">
        <f t="shared" si="13"/>
        <v>4970000</v>
      </c>
      <c r="G140" s="7">
        <f t="shared" si="14"/>
        <v>187924612</v>
      </c>
      <c r="H140" s="35"/>
      <c r="I140" s="24"/>
      <c r="J140" s="24" t="s">
        <v>283</v>
      </c>
      <c r="K140" s="24" t="s">
        <v>282</v>
      </c>
      <c r="L140" s="24" t="s">
        <v>265</v>
      </c>
    </row>
    <row r="141" spans="1:12" hidden="1" x14ac:dyDescent="0.25">
      <c r="A141" s="9">
        <v>44440</v>
      </c>
      <c r="B141" s="6" t="s">
        <v>178</v>
      </c>
      <c r="C141" s="6" t="s">
        <v>73</v>
      </c>
      <c r="D141" s="7">
        <v>-45852</v>
      </c>
      <c r="E141" s="7">
        <f t="shared" si="10"/>
        <v>45852</v>
      </c>
      <c r="F141" s="7" t="str">
        <f t="shared" si="13"/>
        <v>0</v>
      </c>
      <c r="G141" s="7">
        <f t="shared" si="14"/>
        <v>187878760</v>
      </c>
      <c r="H141" s="64"/>
      <c r="I141" s="64"/>
      <c r="J141" s="24"/>
      <c r="K141" s="24" t="s">
        <v>310</v>
      </c>
      <c r="L141" s="24" t="s">
        <v>302</v>
      </c>
    </row>
    <row r="142" spans="1:12" hidden="1" x14ac:dyDescent="0.25">
      <c r="A142" s="9">
        <v>44440</v>
      </c>
      <c r="B142" s="6" t="s">
        <v>179</v>
      </c>
      <c r="C142" s="6" t="s">
        <v>118</v>
      </c>
      <c r="D142" s="7">
        <v>5000000</v>
      </c>
      <c r="E142" s="7" t="str">
        <f t="shared" si="10"/>
        <v>0</v>
      </c>
      <c r="F142" s="7">
        <f t="shared" si="13"/>
        <v>5000000</v>
      </c>
      <c r="G142" s="7">
        <f t="shared" si="14"/>
        <v>192878760</v>
      </c>
      <c r="H142" s="35"/>
      <c r="I142" s="24"/>
      <c r="J142" s="24" t="s">
        <v>296</v>
      </c>
      <c r="K142" s="24" t="s">
        <v>297</v>
      </c>
      <c r="L142" s="24" t="s">
        <v>265</v>
      </c>
    </row>
    <row r="143" spans="1:12" hidden="1" x14ac:dyDescent="0.25">
      <c r="A143" s="9">
        <v>44440</v>
      </c>
      <c r="B143" s="6" t="s">
        <v>179</v>
      </c>
      <c r="C143" s="6" t="s">
        <v>164</v>
      </c>
      <c r="D143" s="7">
        <v>5000000</v>
      </c>
      <c r="E143" s="7" t="str">
        <f t="shared" si="10"/>
        <v>0</v>
      </c>
      <c r="F143" s="7">
        <f t="shared" si="13"/>
        <v>5000000</v>
      </c>
      <c r="G143" s="7">
        <f t="shared" si="14"/>
        <v>197878760</v>
      </c>
      <c r="H143" s="35"/>
      <c r="I143" s="24"/>
      <c r="J143" s="24" t="s">
        <v>283</v>
      </c>
      <c r="K143" s="24" t="s">
        <v>282</v>
      </c>
      <c r="L143" s="24" t="s">
        <v>265</v>
      </c>
    </row>
    <row r="144" spans="1:12" hidden="1" x14ac:dyDescent="0.25">
      <c r="A144" s="9">
        <v>44440</v>
      </c>
      <c r="B144" s="6" t="s">
        <v>179</v>
      </c>
      <c r="C144" s="6" t="s">
        <v>164</v>
      </c>
      <c r="D144" s="7">
        <v>4565000</v>
      </c>
      <c r="E144" s="7" t="str">
        <f t="shared" ref="E144:E207" si="15">+IF(D144&lt;0,-D144,"0")</f>
        <v>0</v>
      </c>
      <c r="F144" s="7">
        <f t="shared" si="13"/>
        <v>4565000</v>
      </c>
      <c r="G144" s="7">
        <f t="shared" si="14"/>
        <v>202443760</v>
      </c>
      <c r="H144" s="35"/>
      <c r="I144" s="24"/>
      <c r="J144" s="24" t="s">
        <v>283</v>
      </c>
      <c r="K144" s="24" t="s">
        <v>282</v>
      </c>
      <c r="L144" s="24" t="s">
        <v>265</v>
      </c>
    </row>
    <row r="145" spans="1:13" hidden="1" x14ac:dyDescent="0.25">
      <c r="A145" s="9">
        <v>44440</v>
      </c>
      <c r="B145" s="6" t="s">
        <v>179</v>
      </c>
      <c r="C145" s="6" t="s">
        <v>118</v>
      </c>
      <c r="D145" s="7">
        <v>4523590</v>
      </c>
      <c r="E145" s="7" t="str">
        <f t="shared" si="15"/>
        <v>0</v>
      </c>
      <c r="F145" s="7">
        <f t="shared" si="13"/>
        <v>4523590</v>
      </c>
      <c r="G145" s="7">
        <f t="shared" si="14"/>
        <v>206967350</v>
      </c>
      <c r="H145" s="35"/>
      <c r="I145" s="24"/>
      <c r="J145" s="24" t="s">
        <v>296</v>
      </c>
      <c r="K145" s="24" t="s">
        <v>297</v>
      </c>
      <c r="L145" s="24" t="s">
        <v>265</v>
      </c>
    </row>
    <row r="146" spans="1:13" hidden="1" x14ac:dyDescent="0.25">
      <c r="A146" s="9">
        <v>44440</v>
      </c>
      <c r="B146" s="6" t="s">
        <v>179</v>
      </c>
      <c r="C146" s="6" t="s">
        <v>165</v>
      </c>
      <c r="D146" s="7">
        <v>-25719</v>
      </c>
      <c r="E146" s="7">
        <f t="shared" si="15"/>
        <v>25719</v>
      </c>
      <c r="F146" s="7" t="str">
        <f t="shared" si="13"/>
        <v>0</v>
      </c>
      <c r="G146" s="7">
        <f t="shared" si="14"/>
        <v>206941631</v>
      </c>
      <c r="H146" s="64"/>
      <c r="I146" s="64"/>
      <c r="J146" s="24"/>
      <c r="K146" s="24" t="s">
        <v>301</v>
      </c>
      <c r="L146" s="24" t="s">
        <v>302</v>
      </c>
    </row>
    <row r="147" spans="1:13" hidden="1" x14ac:dyDescent="0.25">
      <c r="A147" s="9">
        <v>44440</v>
      </c>
      <c r="B147" s="6" t="s">
        <v>179</v>
      </c>
      <c r="C147" s="6" t="s">
        <v>78</v>
      </c>
      <c r="D147" s="7">
        <v>-18100</v>
      </c>
      <c r="E147" s="7">
        <f t="shared" si="15"/>
        <v>18100</v>
      </c>
      <c r="F147" s="7" t="str">
        <f t="shared" si="13"/>
        <v>0</v>
      </c>
      <c r="G147" s="7">
        <f t="shared" si="14"/>
        <v>206923531</v>
      </c>
      <c r="H147" s="64"/>
      <c r="I147" s="64"/>
      <c r="J147" s="24"/>
      <c r="K147" s="24" t="s">
        <v>303</v>
      </c>
      <c r="L147" s="24" t="s">
        <v>304</v>
      </c>
    </row>
    <row r="148" spans="1:13" hidden="1" x14ac:dyDescent="0.25">
      <c r="A148" s="9">
        <v>44440</v>
      </c>
      <c r="B148" s="6" t="s">
        <v>179</v>
      </c>
      <c r="C148" s="6" t="s">
        <v>166</v>
      </c>
      <c r="D148" s="7">
        <v>-5650</v>
      </c>
      <c r="E148" s="7">
        <f t="shared" si="15"/>
        <v>5650</v>
      </c>
      <c r="F148" s="7" t="str">
        <f t="shared" si="13"/>
        <v>0</v>
      </c>
      <c r="G148" s="7">
        <f t="shared" si="14"/>
        <v>206917881</v>
      </c>
      <c r="H148" s="64"/>
      <c r="I148" s="64"/>
      <c r="J148" s="24"/>
      <c r="K148" s="24" t="s">
        <v>301</v>
      </c>
      <c r="L148" s="24" t="s">
        <v>304</v>
      </c>
    </row>
    <row r="149" spans="1:13" hidden="1" x14ac:dyDescent="0.25">
      <c r="A149" s="14">
        <v>44440</v>
      </c>
      <c r="B149" s="15" t="s">
        <v>180</v>
      </c>
      <c r="C149" s="15" t="s">
        <v>167</v>
      </c>
      <c r="D149" s="16">
        <v>-1892100</v>
      </c>
      <c r="E149" s="16">
        <f t="shared" si="15"/>
        <v>1892100</v>
      </c>
      <c r="F149" s="16" t="str">
        <f t="shared" si="13"/>
        <v>0</v>
      </c>
      <c r="G149" s="16">
        <f t="shared" si="14"/>
        <v>205025781</v>
      </c>
      <c r="H149" s="58" t="s">
        <v>647</v>
      </c>
      <c r="I149" s="58" t="s">
        <v>672</v>
      </c>
      <c r="J149" s="25" t="s">
        <v>369</v>
      </c>
      <c r="K149" s="34" t="s">
        <v>368</v>
      </c>
      <c r="L149" s="25" t="s">
        <v>687</v>
      </c>
    </row>
    <row r="150" spans="1:13" hidden="1" x14ac:dyDescent="0.25">
      <c r="A150" s="14">
        <v>44440</v>
      </c>
      <c r="B150" s="15" t="s">
        <v>180</v>
      </c>
      <c r="C150" s="15" t="s">
        <v>121</v>
      </c>
      <c r="D150" s="16">
        <v>-571200</v>
      </c>
      <c r="E150" s="16">
        <f t="shared" si="15"/>
        <v>571200</v>
      </c>
      <c r="F150" s="16" t="str">
        <f t="shared" si="13"/>
        <v>0</v>
      </c>
      <c r="G150" s="16">
        <f t="shared" si="14"/>
        <v>204454581</v>
      </c>
      <c r="H150" s="58" t="s">
        <v>647</v>
      </c>
      <c r="I150" s="59" t="s">
        <v>657</v>
      </c>
      <c r="J150" s="25" t="s">
        <v>363</v>
      </c>
      <c r="K150" s="25" t="s">
        <v>362</v>
      </c>
      <c r="L150" s="25" t="s">
        <v>687</v>
      </c>
    </row>
    <row r="151" spans="1:13" hidden="1" x14ac:dyDescent="0.25">
      <c r="A151" s="14">
        <v>44440</v>
      </c>
      <c r="B151" s="15" t="s">
        <v>180</v>
      </c>
      <c r="C151" s="15" t="s">
        <v>122</v>
      </c>
      <c r="D151" s="16">
        <v>-232165</v>
      </c>
      <c r="E151" s="16">
        <f t="shared" si="15"/>
        <v>232165</v>
      </c>
      <c r="F151" s="16" t="str">
        <f t="shared" si="13"/>
        <v>0</v>
      </c>
      <c r="G151" s="16">
        <f t="shared" si="14"/>
        <v>204222416</v>
      </c>
      <c r="H151" s="58"/>
      <c r="I151" s="58" t="s">
        <v>247</v>
      </c>
      <c r="J151" s="25"/>
      <c r="K151" s="25" t="s">
        <v>321</v>
      </c>
      <c r="L151" s="25" t="s">
        <v>322</v>
      </c>
    </row>
    <row r="152" spans="1:13" hidden="1" x14ac:dyDescent="0.25">
      <c r="A152" s="14">
        <v>44440</v>
      </c>
      <c r="B152" s="15" t="s">
        <v>180</v>
      </c>
      <c r="C152" s="15" t="s">
        <v>79</v>
      </c>
      <c r="D152" s="16">
        <v>-170000</v>
      </c>
      <c r="E152" s="16">
        <f t="shared" si="15"/>
        <v>170000</v>
      </c>
      <c r="F152" s="16" t="str">
        <f t="shared" si="13"/>
        <v>0</v>
      </c>
      <c r="G152" s="16">
        <f t="shared" si="14"/>
        <v>204052416</v>
      </c>
      <c r="H152" s="58" t="s">
        <v>667</v>
      </c>
      <c r="I152" s="58" t="s">
        <v>533</v>
      </c>
      <c r="J152" s="25" t="s">
        <v>429</v>
      </c>
      <c r="K152" s="25" t="s">
        <v>430</v>
      </c>
      <c r="L152" s="25" t="s">
        <v>258</v>
      </c>
    </row>
    <row r="153" spans="1:13" hidden="1" x14ac:dyDescent="0.25">
      <c r="A153" s="14">
        <v>44440</v>
      </c>
      <c r="B153" s="15" t="s">
        <v>180</v>
      </c>
      <c r="C153" s="15" t="s">
        <v>96</v>
      </c>
      <c r="D153" s="16">
        <v>-98000</v>
      </c>
      <c r="E153" s="16">
        <f t="shared" si="15"/>
        <v>98000</v>
      </c>
      <c r="F153" s="16" t="str">
        <f t="shared" si="13"/>
        <v>0</v>
      </c>
      <c r="G153" s="16">
        <f t="shared" si="14"/>
        <v>203954416</v>
      </c>
      <c r="H153" s="58" t="s">
        <v>647</v>
      </c>
      <c r="I153" s="58" t="s">
        <v>671</v>
      </c>
      <c r="J153" s="25" t="s">
        <v>332</v>
      </c>
      <c r="K153" s="25" t="s">
        <v>331</v>
      </c>
      <c r="L153" s="25" t="s">
        <v>333</v>
      </c>
    </row>
    <row r="154" spans="1:13" hidden="1" x14ac:dyDescent="0.25">
      <c r="A154" s="9">
        <v>44440</v>
      </c>
      <c r="B154" s="6" t="s">
        <v>181</v>
      </c>
      <c r="C154" s="6" t="s">
        <v>111</v>
      </c>
      <c r="D154" s="7">
        <v>12000000</v>
      </c>
      <c r="E154" s="7" t="str">
        <f t="shared" si="15"/>
        <v>0</v>
      </c>
      <c r="F154" s="7">
        <f t="shared" si="13"/>
        <v>12000000</v>
      </c>
      <c r="G154" s="7">
        <f t="shared" si="14"/>
        <v>215954416</v>
      </c>
      <c r="H154" s="35"/>
      <c r="I154" s="24"/>
      <c r="J154" s="24"/>
      <c r="K154" s="24" t="s">
        <v>317</v>
      </c>
      <c r="L154" s="24" t="s">
        <v>265</v>
      </c>
    </row>
    <row r="155" spans="1:13" hidden="1" x14ac:dyDescent="0.25">
      <c r="A155" s="9">
        <v>44440</v>
      </c>
      <c r="B155" s="6" t="s">
        <v>181</v>
      </c>
      <c r="C155" s="6" t="s">
        <v>111</v>
      </c>
      <c r="D155" s="7">
        <v>11000000</v>
      </c>
      <c r="E155" s="7" t="str">
        <f t="shared" si="15"/>
        <v>0</v>
      </c>
      <c r="F155" s="7">
        <f t="shared" si="13"/>
        <v>11000000</v>
      </c>
      <c r="G155" s="7">
        <f t="shared" si="14"/>
        <v>226954416</v>
      </c>
      <c r="H155" s="35"/>
      <c r="I155" s="24"/>
      <c r="J155" s="24"/>
      <c r="K155" s="24" t="s">
        <v>317</v>
      </c>
      <c r="L155" s="24" t="s">
        <v>265</v>
      </c>
    </row>
    <row r="156" spans="1:13" hidden="1" x14ac:dyDescent="0.25">
      <c r="A156" s="14">
        <v>44440</v>
      </c>
      <c r="B156" s="15" t="s">
        <v>181</v>
      </c>
      <c r="C156" s="15" t="s">
        <v>76</v>
      </c>
      <c r="D156" s="16">
        <v>-30000</v>
      </c>
      <c r="E156" s="16">
        <f t="shared" si="15"/>
        <v>30000</v>
      </c>
      <c r="F156" s="16" t="str">
        <f t="shared" si="13"/>
        <v>0</v>
      </c>
      <c r="G156" s="16">
        <f t="shared" si="14"/>
        <v>226924416</v>
      </c>
      <c r="H156" s="58" t="s">
        <v>665</v>
      </c>
      <c r="I156" s="58" t="s">
        <v>635</v>
      </c>
      <c r="J156" s="25" t="s">
        <v>325</v>
      </c>
      <c r="K156" s="25" t="s">
        <v>260</v>
      </c>
      <c r="L156" s="25" t="s">
        <v>258</v>
      </c>
    </row>
    <row r="157" spans="1:13" hidden="1" x14ac:dyDescent="0.25">
      <c r="A157" s="9">
        <v>44440</v>
      </c>
      <c r="B157" s="6" t="s">
        <v>182</v>
      </c>
      <c r="C157" s="6" t="s">
        <v>118</v>
      </c>
      <c r="D157" s="7">
        <v>5000000</v>
      </c>
      <c r="E157" s="7" t="str">
        <f t="shared" si="15"/>
        <v>0</v>
      </c>
      <c r="F157" s="7">
        <f t="shared" si="13"/>
        <v>5000000</v>
      </c>
      <c r="G157" s="7">
        <f t="shared" si="14"/>
        <v>231924416</v>
      </c>
      <c r="H157" s="35"/>
      <c r="I157" s="24"/>
      <c r="J157" s="24" t="s">
        <v>296</v>
      </c>
      <c r="K157" s="24" t="s">
        <v>297</v>
      </c>
      <c r="L157" s="24" t="s">
        <v>265</v>
      </c>
    </row>
    <row r="158" spans="1:13" hidden="1" x14ac:dyDescent="0.25">
      <c r="A158" s="9">
        <v>44440</v>
      </c>
      <c r="B158" s="6" t="s">
        <v>182</v>
      </c>
      <c r="C158" s="6" t="s">
        <v>118</v>
      </c>
      <c r="D158" s="7">
        <v>4358339</v>
      </c>
      <c r="E158" s="7" t="str">
        <f t="shared" si="15"/>
        <v>0</v>
      </c>
      <c r="F158" s="7">
        <f t="shared" si="13"/>
        <v>4358339</v>
      </c>
      <c r="G158" s="7">
        <f t="shared" si="14"/>
        <v>236282755</v>
      </c>
      <c r="H158" s="35"/>
      <c r="I158" s="24"/>
      <c r="J158" s="24" t="s">
        <v>296</v>
      </c>
      <c r="K158" s="24" t="s">
        <v>297</v>
      </c>
      <c r="L158" s="24" t="s">
        <v>265</v>
      </c>
    </row>
    <row r="159" spans="1:13" hidden="1" x14ac:dyDescent="0.25">
      <c r="A159" s="9">
        <v>44440</v>
      </c>
      <c r="B159" s="6" t="s">
        <v>183</v>
      </c>
      <c r="C159" s="6" t="s">
        <v>138</v>
      </c>
      <c r="D159" s="7">
        <v>14400000</v>
      </c>
      <c r="E159" s="7" t="str">
        <f t="shared" si="15"/>
        <v>0</v>
      </c>
      <c r="F159" s="7">
        <f t="shared" si="13"/>
        <v>14400000</v>
      </c>
      <c r="G159" s="7">
        <f t="shared" si="14"/>
        <v>250682755</v>
      </c>
      <c r="H159" s="35"/>
      <c r="I159" s="24"/>
      <c r="J159" s="24"/>
      <c r="K159" s="24" t="s">
        <v>318</v>
      </c>
      <c r="L159" s="24" t="s">
        <v>265</v>
      </c>
    </row>
    <row r="160" spans="1:13" hidden="1" x14ac:dyDescent="0.25">
      <c r="A160" s="9">
        <v>44440</v>
      </c>
      <c r="B160" s="6" t="s">
        <v>184</v>
      </c>
      <c r="C160" s="6" t="s">
        <v>168</v>
      </c>
      <c r="D160" s="7">
        <v>-132148337</v>
      </c>
      <c r="E160" s="7">
        <f t="shared" si="15"/>
        <v>132148337</v>
      </c>
      <c r="F160" s="7" t="str">
        <f t="shared" si="13"/>
        <v>0</v>
      </c>
      <c r="G160" s="7">
        <f t="shared" si="14"/>
        <v>118534418</v>
      </c>
      <c r="H160" s="64"/>
      <c r="I160" s="64"/>
      <c r="J160" s="24" t="s">
        <v>327</v>
      </c>
      <c r="K160" s="24" t="s">
        <v>326</v>
      </c>
      <c r="L160" s="24"/>
      <c r="M160" t="s">
        <v>328</v>
      </c>
    </row>
    <row r="161" spans="1:15" hidden="1" x14ac:dyDescent="0.25">
      <c r="A161" s="9">
        <v>44440</v>
      </c>
      <c r="B161" s="6" t="s">
        <v>184</v>
      </c>
      <c r="C161" s="6" t="s">
        <v>169</v>
      </c>
      <c r="D161" s="7">
        <v>-8500</v>
      </c>
      <c r="E161" s="7">
        <f t="shared" si="15"/>
        <v>8500</v>
      </c>
      <c r="F161" s="7" t="str">
        <f t="shared" si="13"/>
        <v>0</v>
      </c>
      <c r="G161" s="7">
        <f t="shared" si="14"/>
        <v>118525918</v>
      </c>
      <c r="H161" s="64"/>
      <c r="I161" s="64"/>
      <c r="J161" s="24"/>
      <c r="K161" s="24" t="s">
        <v>314</v>
      </c>
      <c r="L161" s="24" t="s">
        <v>304</v>
      </c>
    </row>
    <row r="162" spans="1:15" hidden="1" x14ac:dyDescent="0.25">
      <c r="A162" s="9">
        <v>44440</v>
      </c>
      <c r="B162" s="6" t="s">
        <v>185</v>
      </c>
      <c r="C162" s="6" t="s">
        <v>170</v>
      </c>
      <c r="D162" s="7">
        <v>500000</v>
      </c>
      <c r="E162" s="7" t="str">
        <f t="shared" si="15"/>
        <v>0</v>
      </c>
      <c r="F162" s="7">
        <f t="shared" si="13"/>
        <v>500000</v>
      </c>
      <c r="G162" s="7">
        <f t="shared" si="14"/>
        <v>119025918</v>
      </c>
      <c r="H162" s="35"/>
      <c r="I162" s="24"/>
      <c r="J162" s="24" t="s">
        <v>288</v>
      </c>
      <c r="K162" s="24" t="s">
        <v>287</v>
      </c>
      <c r="L162" s="24" t="s">
        <v>265</v>
      </c>
      <c r="M162" s="4">
        <v>44469</v>
      </c>
      <c r="N162" s="2">
        <v>119025918</v>
      </c>
      <c r="O162" s="2">
        <f>+G162-N162</f>
        <v>0</v>
      </c>
    </row>
    <row r="163" spans="1:15" hidden="1" x14ac:dyDescent="0.25">
      <c r="A163" s="14">
        <v>44470</v>
      </c>
      <c r="B163" s="15" t="s">
        <v>198</v>
      </c>
      <c r="C163" s="15" t="s">
        <v>167</v>
      </c>
      <c r="D163" s="16">
        <v>-886550</v>
      </c>
      <c r="E163" s="16">
        <f t="shared" si="15"/>
        <v>886550</v>
      </c>
      <c r="F163" s="16" t="str">
        <f t="shared" ref="F163:F202" si="16">+IF(D163&lt;0,"0",D163)</f>
        <v>0</v>
      </c>
      <c r="G163" s="16">
        <f t="shared" ref="G163:G202" si="17">+F163-E163+G162</f>
        <v>118139368</v>
      </c>
      <c r="H163" s="58" t="s">
        <v>647</v>
      </c>
      <c r="I163" s="59" t="s">
        <v>673</v>
      </c>
      <c r="J163" s="25" t="s">
        <v>369</v>
      </c>
      <c r="K163" s="34" t="s">
        <v>368</v>
      </c>
      <c r="L163" s="25" t="s">
        <v>687</v>
      </c>
    </row>
    <row r="164" spans="1:15" hidden="1" x14ac:dyDescent="0.25">
      <c r="A164" s="9">
        <v>44470</v>
      </c>
      <c r="B164" s="6" t="s">
        <v>199</v>
      </c>
      <c r="C164" s="6" t="s">
        <v>186</v>
      </c>
      <c r="D164" s="7">
        <v>-19207798</v>
      </c>
      <c r="E164" s="7">
        <f t="shared" si="15"/>
        <v>19207798</v>
      </c>
      <c r="F164" s="7" t="str">
        <f t="shared" si="16"/>
        <v>0</v>
      </c>
      <c r="G164" s="7">
        <f t="shared" si="17"/>
        <v>98931570</v>
      </c>
      <c r="H164" s="64"/>
      <c r="I164" s="64"/>
      <c r="J164" s="24" t="s">
        <v>365</v>
      </c>
      <c r="K164" s="32" t="s">
        <v>334</v>
      </c>
      <c r="L164" s="24" t="s">
        <v>336</v>
      </c>
    </row>
    <row r="165" spans="1:15" hidden="1" x14ac:dyDescent="0.25">
      <c r="A165" s="14">
        <v>44470</v>
      </c>
      <c r="B165" s="15" t="s">
        <v>199</v>
      </c>
      <c r="C165" s="15" t="s">
        <v>187</v>
      </c>
      <c r="D165" s="16">
        <v>-372760</v>
      </c>
      <c r="E165" s="16">
        <f t="shared" si="15"/>
        <v>372760</v>
      </c>
      <c r="F165" s="16" t="str">
        <f t="shared" si="16"/>
        <v>0</v>
      </c>
      <c r="G165" s="16">
        <f t="shared" si="17"/>
        <v>98558810</v>
      </c>
      <c r="H165" s="58" t="s">
        <v>647</v>
      </c>
      <c r="I165" s="59" t="s">
        <v>662</v>
      </c>
      <c r="J165" s="25" t="s">
        <v>329</v>
      </c>
      <c r="K165" s="25" t="s">
        <v>330</v>
      </c>
      <c r="L165" s="25" t="s">
        <v>359</v>
      </c>
    </row>
    <row r="166" spans="1:15" hidden="1" x14ac:dyDescent="0.25">
      <c r="A166" s="9">
        <v>44470</v>
      </c>
      <c r="B166" s="6" t="s">
        <v>199</v>
      </c>
      <c r="C166" s="6" t="s">
        <v>63</v>
      </c>
      <c r="D166" s="7">
        <v>-50000</v>
      </c>
      <c r="E166" s="7">
        <f t="shared" si="15"/>
        <v>50000</v>
      </c>
      <c r="F166" s="7" t="str">
        <f t="shared" si="16"/>
        <v>0</v>
      </c>
      <c r="G166" s="7">
        <f t="shared" si="17"/>
        <v>98508810</v>
      </c>
      <c r="H166" s="64"/>
      <c r="I166" s="64"/>
      <c r="J166" s="24"/>
      <c r="K166" s="24" t="s">
        <v>320</v>
      </c>
      <c r="L166" s="24" t="s">
        <v>300</v>
      </c>
    </row>
    <row r="167" spans="1:15" hidden="1" x14ac:dyDescent="0.25">
      <c r="A167" s="14">
        <v>44470</v>
      </c>
      <c r="B167" s="15" t="s">
        <v>199</v>
      </c>
      <c r="C167" s="15" t="s">
        <v>188</v>
      </c>
      <c r="D167" s="16">
        <v>-37730</v>
      </c>
      <c r="E167" s="16">
        <f t="shared" si="15"/>
        <v>37730</v>
      </c>
      <c r="F167" s="16" t="str">
        <f t="shared" si="16"/>
        <v>0</v>
      </c>
      <c r="G167" s="16">
        <f t="shared" si="17"/>
        <v>98471080</v>
      </c>
      <c r="H167" s="58" t="s">
        <v>667</v>
      </c>
      <c r="I167" s="58" t="s">
        <v>674</v>
      </c>
      <c r="J167" s="25" t="s">
        <v>536</v>
      </c>
      <c r="K167" s="25" t="s">
        <v>537</v>
      </c>
      <c r="L167" s="25" t="s">
        <v>304</v>
      </c>
    </row>
    <row r="168" spans="1:15" hidden="1" x14ac:dyDescent="0.25">
      <c r="A168" s="9">
        <v>44470</v>
      </c>
      <c r="B168" s="6" t="s">
        <v>199</v>
      </c>
      <c r="C168" s="6" t="s">
        <v>189</v>
      </c>
      <c r="D168" s="7">
        <v>-28501</v>
      </c>
      <c r="E168" s="7">
        <f t="shared" si="15"/>
        <v>28501</v>
      </c>
      <c r="F168" s="7" t="str">
        <f t="shared" si="16"/>
        <v>0</v>
      </c>
      <c r="G168" s="7">
        <f t="shared" si="17"/>
        <v>98442579</v>
      </c>
      <c r="H168" s="64"/>
      <c r="I168" s="64"/>
      <c r="J168" s="24"/>
      <c r="K168" s="24" t="s">
        <v>301</v>
      </c>
      <c r="L168" s="24" t="s">
        <v>302</v>
      </c>
    </row>
    <row r="169" spans="1:15" hidden="1" x14ac:dyDescent="0.25">
      <c r="A169" s="14">
        <v>44470</v>
      </c>
      <c r="B169" s="15" t="s">
        <v>199</v>
      </c>
      <c r="C169" s="15" t="s">
        <v>190</v>
      </c>
      <c r="D169" s="16">
        <v>-24021</v>
      </c>
      <c r="E169" s="16">
        <f t="shared" si="15"/>
        <v>24021</v>
      </c>
      <c r="F169" s="16" t="str">
        <f t="shared" si="16"/>
        <v>0</v>
      </c>
      <c r="G169" s="16">
        <f t="shared" si="17"/>
        <v>98418558</v>
      </c>
      <c r="H169" s="58" t="s">
        <v>667</v>
      </c>
      <c r="I169" s="58" t="s">
        <v>547</v>
      </c>
      <c r="J169" s="25"/>
      <c r="K169" s="25" t="s">
        <v>301</v>
      </c>
      <c r="L169" s="25" t="s">
        <v>302</v>
      </c>
    </row>
    <row r="170" spans="1:15" hidden="1" x14ac:dyDescent="0.25">
      <c r="A170" s="14">
        <v>44470</v>
      </c>
      <c r="B170" s="15" t="s">
        <v>199</v>
      </c>
      <c r="C170" s="15" t="s">
        <v>64</v>
      </c>
      <c r="D170" s="16">
        <v>-20004</v>
      </c>
      <c r="E170" s="16">
        <f t="shared" si="15"/>
        <v>20004</v>
      </c>
      <c r="F170" s="16" t="str">
        <f t="shared" si="16"/>
        <v>0</v>
      </c>
      <c r="G170" s="16">
        <f t="shared" si="17"/>
        <v>98398554</v>
      </c>
      <c r="H170" s="58" t="s">
        <v>667</v>
      </c>
      <c r="I170" s="58" t="s">
        <v>545</v>
      </c>
      <c r="J170" s="25"/>
      <c r="K170" s="25" t="s">
        <v>301</v>
      </c>
      <c r="L170" s="25" t="s">
        <v>302</v>
      </c>
    </row>
    <row r="171" spans="1:15" hidden="1" x14ac:dyDescent="0.25">
      <c r="A171" s="9">
        <v>44470</v>
      </c>
      <c r="B171" s="6" t="s">
        <v>200</v>
      </c>
      <c r="C171" s="6" t="s">
        <v>191</v>
      </c>
      <c r="D171" s="7">
        <v>300000</v>
      </c>
      <c r="E171" s="7" t="str">
        <f t="shared" si="15"/>
        <v>0</v>
      </c>
      <c r="F171" s="7">
        <f t="shared" si="16"/>
        <v>300000</v>
      </c>
      <c r="G171" s="7">
        <f t="shared" si="17"/>
        <v>98698554</v>
      </c>
      <c r="H171" s="35"/>
      <c r="I171" s="24"/>
      <c r="J171" s="24" t="s">
        <v>277</v>
      </c>
      <c r="K171" s="24" t="s">
        <v>276</v>
      </c>
      <c r="L171" s="24" t="s">
        <v>265</v>
      </c>
    </row>
    <row r="172" spans="1:15" hidden="1" x14ac:dyDescent="0.25">
      <c r="A172" s="9">
        <v>44470</v>
      </c>
      <c r="B172" s="6" t="s">
        <v>200</v>
      </c>
      <c r="C172" s="6" t="s">
        <v>160</v>
      </c>
      <c r="D172" s="7">
        <v>250000</v>
      </c>
      <c r="E172" s="7" t="str">
        <f t="shared" si="15"/>
        <v>0</v>
      </c>
      <c r="F172" s="7">
        <f t="shared" si="16"/>
        <v>250000</v>
      </c>
      <c r="G172" s="7">
        <f t="shared" si="17"/>
        <v>98948554</v>
      </c>
      <c r="H172" s="35"/>
      <c r="I172" s="24"/>
      <c r="J172" s="24"/>
      <c r="K172" s="24" t="s">
        <v>160</v>
      </c>
      <c r="L172" s="24" t="s">
        <v>265</v>
      </c>
    </row>
    <row r="173" spans="1:15" hidden="1" x14ac:dyDescent="0.25">
      <c r="A173" s="9">
        <v>44470</v>
      </c>
      <c r="B173" s="6" t="s">
        <v>200</v>
      </c>
      <c r="C173" s="6" t="s">
        <v>142</v>
      </c>
      <c r="D173" s="7">
        <v>-50000</v>
      </c>
      <c r="E173" s="7">
        <f t="shared" si="15"/>
        <v>50000</v>
      </c>
      <c r="F173" s="7" t="str">
        <f t="shared" si="16"/>
        <v>0</v>
      </c>
      <c r="G173" s="7">
        <f t="shared" si="17"/>
        <v>98898554</v>
      </c>
      <c r="H173" s="64"/>
      <c r="I173" s="64"/>
      <c r="J173" s="24" t="s">
        <v>350</v>
      </c>
      <c r="K173" s="24" t="s">
        <v>349</v>
      </c>
      <c r="L173" s="24"/>
    </row>
    <row r="174" spans="1:15" hidden="1" x14ac:dyDescent="0.25">
      <c r="A174" s="9">
        <v>44470</v>
      </c>
      <c r="B174" s="6" t="s">
        <v>201</v>
      </c>
      <c r="C174" s="6" t="s">
        <v>192</v>
      </c>
      <c r="D174" s="7">
        <v>10000000</v>
      </c>
      <c r="E174" s="7" t="str">
        <f t="shared" si="15"/>
        <v>0</v>
      </c>
      <c r="F174" s="7">
        <f t="shared" si="16"/>
        <v>10000000</v>
      </c>
      <c r="G174" s="7">
        <f t="shared" si="17"/>
        <v>108898554</v>
      </c>
      <c r="H174" s="35"/>
      <c r="I174" s="24"/>
      <c r="J174" s="24" t="s">
        <v>293</v>
      </c>
      <c r="K174" s="24" t="s">
        <v>294</v>
      </c>
      <c r="L174" s="24" t="s">
        <v>295</v>
      </c>
    </row>
    <row r="175" spans="1:15" hidden="1" x14ac:dyDescent="0.25">
      <c r="A175" s="9">
        <v>44470</v>
      </c>
      <c r="B175" s="6" t="s">
        <v>201</v>
      </c>
      <c r="C175" s="6" t="s">
        <v>191</v>
      </c>
      <c r="D175" s="7">
        <v>5000000</v>
      </c>
      <c r="E175" s="7" t="str">
        <f t="shared" si="15"/>
        <v>0</v>
      </c>
      <c r="F175" s="7">
        <f t="shared" si="16"/>
        <v>5000000</v>
      </c>
      <c r="G175" s="7">
        <f t="shared" si="17"/>
        <v>113898554</v>
      </c>
      <c r="H175" s="35"/>
      <c r="I175" s="24"/>
      <c r="J175" s="24" t="s">
        <v>277</v>
      </c>
      <c r="K175" s="24" t="s">
        <v>276</v>
      </c>
      <c r="L175" s="24" t="s">
        <v>265</v>
      </c>
    </row>
    <row r="176" spans="1:15" hidden="1" x14ac:dyDescent="0.25">
      <c r="A176" s="9">
        <v>44470</v>
      </c>
      <c r="B176" s="6" t="s">
        <v>201</v>
      </c>
      <c r="C176" s="6" t="s">
        <v>160</v>
      </c>
      <c r="D176" s="7">
        <v>4750000</v>
      </c>
      <c r="E176" s="7" t="str">
        <f t="shared" si="15"/>
        <v>0</v>
      </c>
      <c r="F176" s="7">
        <f t="shared" si="16"/>
        <v>4750000</v>
      </c>
      <c r="G176" s="7">
        <f t="shared" si="17"/>
        <v>118648554</v>
      </c>
      <c r="H176" s="35"/>
      <c r="I176" s="24"/>
      <c r="J176" s="24"/>
      <c r="K176" s="24" t="s">
        <v>160</v>
      </c>
      <c r="L176" s="24" t="s">
        <v>265</v>
      </c>
    </row>
    <row r="177" spans="1:12" hidden="1" x14ac:dyDescent="0.25">
      <c r="A177" s="9">
        <v>44470</v>
      </c>
      <c r="B177" s="6" t="s">
        <v>201</v>
      </c>
      <c r="C177" s="6" t="s">
        <v>193</v>
      </c>
      <c r="D177" s="7">
        <v>-350000</v>
      </c>
      <c r="E177" s="7">
        <f t="shared" si="15"/>
        <v>350000</v>
      </c>
      <c r="F177" s="7" t="str">
        <f t="shared" si="16"/>
        <v>0</v>
      </c>
      <c r="G177" s="7">
        <f t="shared" si="17"/>
        <v>118298554</v>
      </c>
      <c r="H177" s="64"/>
      <c r="I177" s="64"/>
      <c r="J177" s="24" t="s">
        <v>356</v>
      </c>
      <c r="K177" s="24" t="s">
        <v>355</v>
      </c>
      <c r="L177" s="24"/>
    </row>
    <row r="178" spans="1:12" hidden="1" x14ac:dyDescent="0.25">
      <c r="A178" s="9">
        <v>44470</v>
      </c>
      <c r="B178" s="6" t="s">
        <v>202</v>
      </c>
      <c r="C178" s="6" t="s">
        <v>194</v>
      </c>
      <c r="D178" s="7">
        <v>5000000</v>
      </c>
      <c r="E178" s="7" t="str">
        <f t="shared" si="15"/>
        <v>0</v>
      </c>
      <c r="F178" s="7">
        <f t="shared" si="16"/>
        <v>5000000</v>
      </c>
      <c r="G178" s="7">
        <f t="shared" si="17"/>
        <v>123298554</v>
      </c>
      <c r="H178" s="35"/>
      <c r="I178" s="24"/>
      <c r="J178" s="24" t="s">
        <v>292</v>
      </c>
      <c r="K178" s="24"/>
      <c r="L178" s="24"/>
    </row>
    <row r="179" spans="1:12" hidden="1" x14ac:dyDescent="0.25">
      <c r="A179" s="9">
        <v>44470</v>
      </c>
      <c r="B179" s="6" t="s">
        <v>202</v>
      </c>
      <c r="C179" s="6" t="s">
        <v>191</v>
      </c>
      <c r="D179" s="7">
        <v>5000000</v>
      </c>
      <c r="E179" s="7" t="str">
        <f t="shared" si="15"/>
        <v>0</v>
      </c>
      <c r="F179" s="7">
        <f t="shared" si="16"/>
        <v>5000000</v>
      </c>
      <c r="G179" s="7">
        <f t="shared" si="17"/>
        <v>128298554</v>
      </c>
      <c r="H179" s="35"/>
      <c r="I179" s="24"/>
      <c r="J179" s="24" t="s">
        <v>277</v>
      </c>
      <c r="K179" s="24" t="s">
        <v>276</v>
      </c>
      <c r="L179" s="24" t="s">
        <v>265</v>
      </c>
    </row>
    <row r="180" spans="1:12" hidden="1" x14ac:dyDescent="0.25">
      <c r="A180" s="9">
        <v>44470</v>
      </c>
      <c r="B180" s="6" t="s">
        <v>202</v>
      </c>
      <c r="C180" s="6" t="s">
        <v>191</v>
      </c>
      <c r="D180" s="7">
        <v>5000000</v>
      </c>
      <c r="E180" s="7" t="str">
        <f t="shared" si="15"/>
        <v>0</v>
      </c>
      <c r="F180" s="7">
        <f t="shared" si="16"/>
        <v>5000000</v>
      </c>
      <c r="G180" s="7">
        <f t="shared" si="17"/>
        <v>133298554</v>
      </c>
      <c r="H180" s="35"/>
      <c r="I180" s="24"/>
      <c r="J180" s="24" t="s">
        <v>277</v>
      </c>
      <c r="K180" s="24" t="s">
        <v>276</v>
      </c>
      <c r="L180" s="24" t="s">
        <v>265</v>
      </c>
    </row>
    <row r="181" spans="1:12" hidden="1" x14ac:dyDescent="0.25">
      <c r="A181" s="9">
        <v>44470</v>
      </c>
      <c r="B181" s="6" t="s">
        <v>202</v>
      </c>
      <c r="C181" s="6" t="s">
        <v>186</v>
      </c>
      <c r="D181" s="7">
        <v>-350000</v>
      </c>
      <c r="E181" s="7">
        <f t="shared" si="15"/>
        <v>350000</v>
      </c>
      <c r="F181" s="7" t="str">
        <f t="shared" si="16"/>
        <v>0</v>
      </c>
      <c r="G181" s="7">
        <f t="shared" si="17"/>
        <v>132948554</v>
      </c>
      <c r="H181" s="64"/>
      <c r="I181" s="64"/>
      <c r="J181" s="24" t="s">
        <v>365</v>
      </c>
      <c r="K181" s="32" t="s">
        <v>334</v>
      </c>
      <c r="L181" s="24" t="s">
        <v>336</v>
      </c>
    </row>
    <row r="182" spans="1:12" hidden="1" x14ac:dyDescent="0.25">
      <c r="A182" s="9">
        <v>44470</v>
      </c>
      <c r="B182" s="6" t="s">
        <v>203</v>
      </c>
      <c r="C182" s="6" t="s">
        <v>111</v>
      </c>
      <c r="D182" s="7">
        <v>12400000</v>
      </c>
      <c r="E182" s="7" t="str">
        <f t="shared" si="15"/>
        <v>0</v>
      </c>
      <c r="F182" s="7">
        <f t="shared" si="16"/>
        <v>12400000</v>
      </c>
      <c r="G182" s="7">
        <f t="shared" si="17"/>
        <v>145348554</v>
      </c>
      <c r="H182" s="35"/>
      <c r="I182" s="24"/>
      <c r="J182" s="24"/>
      <c r="K182" s="24" t="s">
        <v>317</v>
      </c>
      <c r="L182" s="24" t="s">
        <v>265</v>
      </c>
    </row>
    <row r="183" spans="1:12" hidden="1" x14ac:dyDescent="0.25">
      <c r="A183" s="9">
        <v>44470</v>
      </c>
      <c r="B183" s="6" t="s">
        <v>203</v>
      </c>
      <c r="C183" s="6" t="s">
        <v>118</v>
      </c>
      <c r="D183" s="7">
        <v>6508990</v>
      </c>
      <c r="E183" s="7" t="str">
        <f t="shared" si="15"/>
        <v>0</v>
      </c>
      <c r="F183" s="7">
        <f t="shared" si="16"/>
        <v>6508990</v>
      </c>
      <c r="G183" s="7">
        <f t="shared" si="17"/>
        <v>151857544</v>
      </c>
      <c r="H183" s="35"/>
      <c r="I183" s="24"/>
      <c r="J183" s="24" t="s">
        <v>296</v>
      </c>
      <c r="K183" s="24" t="s">
        <v>297</v>
      </c>
      <c r="L183" s="24" t="s">
        <v>265</v>
      </c>
    </row>
    <row r="184" spans="1:12" hidden="1" x14ac:dyDescent="0.25">
      <c r="A184" s="9">
        <v>44470</v>
      </c>
      <c r="B184" s="6" t="s">
        <v>203</v>
      </c>
      <c r="C184" s="6" t="s">
        <v>118</v>
      </c>
      <c r="D184" s="7">
        <v>5000000</v>
      </c>
      <c r="E184" s="7" t="str">
        <f t="shared" si="15"/>
        <v>0</v>
      </c>
      <c r="F184" s="7">
        <f t="shared" si="16"/>
        <v>5000000</v>
      </c>
      <c r="G184" s="7">
        <f t="shared" si="17"/>
        <v>156857544</v>
      </c>
      <c r="H184" s="35"/>
      <c r="I184" s="24"/>
      <c r="J184" s="24" t="s">
        <v>296</v>
      </c>
      <c r="K184" s="24" t="s">
        <v>297</v>
      </c>
      <c r="L184" s="24" t="s">
        <v>265</v>
      </c>
    </row>
    <row r="185" spans="1:12" hidden="1" x14ac:dyDescent="0.25">
      <c r="A185" s="9">
        <v>44470</v>
      </c>
      <c r="B185" s="6" t="s">
        <v>203</v>
      </c>
      <c r="C185" s="6" t="s">
        <v>191</v>
      </c>
      <c r="D185" s="7">
        <v>400000</v>
      </c>
      <c r="E185" s="7" t="str">
        <f t="shared" si="15"/>
        <v>0</v>
      </c>
      <c r="F185" s="7">
        <f t="shared" si="16"/>
        <v>400000</v>
      </c>
      <c r="G185" s="7">
        <f t="shared" si="17"/>
        <v>157257544</v>
      </c>
      <c r="H185" s="35"/>
      <c r="I185" s="24"/>
      <c r="J185" s="24" t="s">
        <v>277</v>
      </c>
      <c r="K185" s="24" t="s">
        <v>276</v>
      </c>
      <c r="L185" s="24" t="s">
        <v>265</v>
      </c>
    </row>
    <row r="186" spans="1:12" hidden="1" x14ac:dyDescent="0.25">
      <c r="A186" s="9">
        <v>44470</v>
      </c>
      <c r="B186" s="6" t="s">
        <v>203</v>
      </c>
      <c r="C186" s="6" t="s">
        <v>195</v>
      </c>
      <c r="D186" s="7">
        <v>-1007287</v>
      </c>
      <c r="E186" s="7">
        <f t="shared" si="15"/>
        <v>1007287</v>
      </c>
      <c r="F186" s="7" t="str">
        <f t="shared" si="16"/>
        <v>0</v>
      </c>
      <c r="G186" s="7">
        <f t="shared" si="17"/>
        <v>156250257</v>
      </c>
      <c r="H186" s="64"/>
      <c r="I186" s="64"/>
      <c r="J186" s="24" t="s">
        <v>352</v>
      </c>
      <c r="K186" s="24" t="s">
        <v>351</v>
      </c>
      <c r="L186" s="24"/>
    </row>
    <row r="187" spans="1:12" hidden="1" x14ac:dyDescent="0.25">
      <c r="A187" s="14">
        <v>44470</v>
      </c>
      <c r="B187" s="15" t="s">
        <v>203</v>
      </c>
      <c r="C187" s="15" t="s">
        <v>96</v>
      </c>
      <c r="D187" s="16">
        <v>-116000</v>
      </c>
      <c r="E187" s="16">
        <f t="shared" si="15"/>
        <v>116000</v>
      </c>
      <c r="F187" s="16" t="str">
        <f t="shared" si="16"/>
        <v>0</v>
      </c>
      <c r="G187" s="16">
        <f t="shared" si="17"/>
        <v>156134257</v>
      </c>
      <c r="H187" s="58" t="s">
        <v>647</v>
      </c>
      <c r="I187" s="59" t="s">
        <v>661</v>
      </c>
      <c r="J187" s="25" t="s">
        <v>332</v>
      </c>
      <c r="K187" s="25" t="s">
        <v>331</v>
      </c>
      <c r="L187" s="25" t="s">
        <v>333</v>
      </c>
    </row>
    <row r="188" spans="1:12" hidden="1" x14ac:dyDescent="0.25">
      <c r="A188" s="9">
        <v>44470</v>
      </c>
      <c r="B188" s="6" t="s">
        <v>204</v>
      </c>
      <c r="C188" s="6" t="s">
        <v>118</v>
      </c>
      <c r="D188" s="7">
        <v>5000000</v>
      </c>
      <c r="E188" s="7" t="str">
        <f t="shared" si="15"/>
        <v>0</v>
      </c>
      <c r="F188" s="7">
        <f t="shared" si="16"/>
        <v>5000000</v>
      </c>
      <c r="G188" s="7">
        <f t="shared" si="17"/>
        <v>161134257</v>
      </c>
      <c r="H188" s="35"/>
      <c r="I188" s="24"/>
      <c r="J188" s="24" t="s">
        <v>296</v>
      </c>
      <c r="K188" s="24" t="s">
        <v>297</v>
      </c>
      <c r="L188" s="24" t="s">
        <v>265</v>
      </c>
    </row>
    <row r="189" spans="1:12" hidden="1" x14ac:dyDescent="0.25">
      <c r="A189" s="9">
        <v>44470</v>
      </c>
      <c r="B189" s="6" t="s">
        <v>204</v>
      </c>
      <c r="C189" s="6" t="s">
        <v>118</v>
      </c>
      <c r="D189" s="7">
        <v>5000000</v>
      </c>
      <c r="E189" s="7" t="str">
        <f t="shared" si="15"/>
        <v>0</v>
      </c>
      <c r="F189" s="7">
        <f t="shared" si="16"/>
        <v>5000000</v>
      </c>
      <c r="G189" s="7">
        <f t="shared" si="17"/>
        <v>166134257</v>
      </c>
      <c r="H189" s="35"/>
      <c r="I189" s="24"/>
      <c r="J189" s="24" t="s">
        <v>296</v>
      </c>
      <c r="K189" s="24" t="s">
        <v>297</v>
      </c>
      <c r="L189" s="24" t="s">
        <v>265</v>
      </c>
    </row>
    <row r="190" spans="1:12" hidden="1" x14ac:dyDescent="0.25">
      <c r="A190" s="9">
        <v>44470</v>
      </c>
      <c r="B190" s="6" t="s">
        <v>204</v>
      </c>
      <c r="C190" s="6" t="s">
        <v>118</v>
      </c>
      <c r="D190" s="7">
        <v>2099982</v>
      </c>
      <c r="E190" s="7" t="str">
        <f t="shared" si="15"/>
        <v>0</v>
      </c>
      <c r="F190" s="7">
        <f t="shared" si="16"/>
        <v>2099982</v>
      </c>
      <c r="G190" s="7">
        <f t="shared" si="17"/>
        <v>168234239</v>
      </c>
      <c r="H190" s="35"/>
      <c r="I190" s="24"/>
      <c r="J190" s="24" t="s">
        <v>296</v>
      </c>
      <c r="K190" s="24" t="s">
        <v>297</v>
      </c>
      <c r="L190" s="24" t="s">
        <v>265</v>
      </c>
    </row>
    <row r="191" spans="1:12" hidden="1" x14ac:dyDescent="0.25">
      <c r="A191" s="14">
        <v>44470</v>
      </c>
      <c r="B191" s="15" t="s">
        <v>204</v>
      </c>
      <c r="C191" s="15" t="s">
        <v>121</v>
      </c>
      <c r="D191" s="16">
        <v>-307020</v>
      </c>
      <c r="E191" s="16">
        <f t="shared" si="15"/>
        <v>307020</v>
      </c>
      <c r="F191" s="16" t="str">
        <f t="shared" si="16"/>
        <v>0</v>
      </c>
      <c r="G191" s="16">
        <f t="shared" si="17"/>
        <v>167927219</v>
      </c>
      <c r="H191" s="58" t="s">
        <v>647</v>
      </c>
      <c r="I191" s="59" t="s">
        <v>659</v>
      </c>
      <c r="J191" s="25" t="s">
        <v>363</v>
      </c>
      <c r="K191" s="25" t="s">
        <v>362</v>
      </c>
      <c r="L191" s="25" t="s">
        <v>687</v>
      </c>
    </row>
    <row r="192" spans="1:12" hidden="1" x14ac:dyDescent="0.25">
      <c r="A192" s="9">
        <v>44470</v>
      </c>
      <c r="B192" s="6" t="s">
        <v>205</v>
      </c>
      <c r="C192" s="6" t="s">
        <v>192</v>
      </c>
      <c r="D192" s="7">
        <v>10000000</v>
      </c>
      <c r="E192" s="7" t="str">
        <f t="shared" si="15"/>
        <v>0</v>
      </c>
      <c r="F192" s="7">
        <f t="shared" si="16"/>
        <v>10000000</v>
      </c>
      <c r="G192" s="7">
        <f t="shared" si="17"/>
        <v>177927219</v>
      </c>
      <c r="H192" s="35"/>
      <c r="I192" s="24"/>
      <c r="J192" s="24" t="s">
        <v>293</v>
      </c>
      <c r="K192" s="24" t="s">
        <v>294</v>
      </c>
      <c r="L192" s="24" t="s">
        <v>295</v>
      </c>
    </row>
    <row r="193" spans="1:15" hidden="1" x14ac:dyDescent="0.25">
      <c r="A193" s="9">
        <v>44470</v>
      </c>
      <c r="B193" s="6" t="s">
        <v>205</v>
      </c>
      <c r="C193" s="6" t="s">
        <v>160</v>
      </c>
      <c r="D193" s="7">
        <v>5000000</v>
      </c>
      <c r="E193" s="7" t="str">
        <f t="shared" si="15"/>
        <v>0</v>
      </c>
      <c r="F193" s="7">
        <f t="shared" si="16"/>
        <v>5000000</v>
      </c>
      <c r="G193" s="7">
        <f t="shared" si="17"/>
        <v>182927219</v>
      </c>
      <c r="H193" s="35"/>
      <c r="I193" s="24"/>
      <c r="J193" s="24"/>
      <c r="K193" s="24" t="s">
        <v>160</v>
      </c>
      <c r="L193" s="24" t="s">
        <v>265</v>
      </c>
    </row>
    <row r="194" spans="1:15" hidden="1" x14ac:dyDescent="0.25">
      <c r="A194" s="9">
        <v>44470</v>
      </c>
      <c r="B194" s="6" t="s">
        <v>205</v>
      </c>
      <c r="C194" s="6" t="s">
        <v>194</v>
      </c>
      <c r="D194" s="7">
        <v>5000000</v>
      </c>
      <c r="E194" s="7" t="str">
        <f t="shared" si="15"/>
        <v>0</v>
      </c>
      <c r="F194" s="7">
        <f t="shared" si="16"/>
        <v>5000000</v>
      </c>
      <c r="G194" s="7">
        <f t="shared" si="17"/>
        <v>187927219</v>
      </c>
      <c r="H194" s="35"/>
      <c r="I194" s="24"/>
      <c r="J194" s="24" t="s">
        <v>292</v>
      </c>
      <c r="K194" s="24"/>
      <c r="L194" s="24"/>
    </row>
    <row r="195" spans="1:15" hidden="1" x14ac:dyDescent="0.25">
      <c r="A195" s="9">
        <v>44470</v>
      </c>
      <c r="B195" s="6" t="s">
        <v>205</v>
      </c>
      <c r="C195" s="6" t="s">
        <v>196</v>
      </c>
      <c r="D195" s="7">
        <v>-19207798</v>
      </c>
      <c r="E195" s="7">
        <f t="shared" si="15"/>
        <v>19207798</v>
      </c>
      <c r="F195" s="7" t="str">
        <f t="shared" si="16"/>
        <v>0</v>
      </c>
      <c r="G195" s="7">
        <f t="shared" si="17"/>
        <v>168719421</v>
      </c>
      <c r="H195" s="64"/>
      <c r="I195" s="64"/>
      <c r="J195" s="24" t="s">
        <v>335</v>
      </c>
      <c r="K195" s="32" t="s">
        <v>334</v>
      </c>
      <c r="L195" s="24" t="s">
        <v>336</v>
      </c>
    </row>
    <row r="196" spans="1:15" hidden="1" x14ac:dyDescent="0.25">
      <c r="A196" s="9">
        <v>44470</v>
      </c>
      <c r="B196" s="6" t="s">
        <v>205</v>
      </c>
      <c r="C196" s="6" t="s">
        <v>94</v>
      </c>
      <c r="D196" s="7">
        <v>-350000</v>
      </c>
      <c r="E196" s="7">
        <f t="shared" si="15"/>
        <v>350000</v>
      </c>
      <c r="F196" s="7" t="str">
        <f t="shared" si="16"/>
        <v>0</v>
      </c>
      <c r="G196" s="7">
        <f t="shared" si="17"/>
        <v>168369421</v>
      </c>
      <c r="H196" s="64"/>
      <c r="I196" s="64"/>
      <c r="J196" s="24" t="s">
        <v>293</v>
      </c>
      <c r="K196" s="24" t="s">
        <v>294</v>
      </c>
      <c r="L196" s="24" t="s">
        <v>337</v>
      </c>
    </row>
    <row r="197" spans="1:15" hidden="1" x14ac:dyDescent="0.25">
      <c r="A197" s="9">
        <v>44470</v>
      </c>
      <c r="B197" s="6" t="s">
        <v>205</v>
      </c>
      <c r="C197" s="6" t="s">
        <v>167</v>
      </c>
      <c r="D197" s="7">
        <v>-300000</v>
      </c>
      <c r="E197" s="7">
        <f t="shared" si="15"/>
        <v>300000</v>
      </c>
      <c r="F197" s="7" t="str">
        <f t="shared" si="16"/>
        <v>0</v>
      </c>
      <c r="G197" s="7">
        <f t="shared" si="17"/>
        <v>168069421</v>
      </c>
      <c r="H197" s="64"/>
      <c r="I197" s="64"/>
      <c r="J197" s="24" t="s">
        <v>369</v>
      </c>
      <c r="K197" s="32" t="s">
        <v>368</v>
      </c>
      <c r="L197" s="24" t="s">
        <v>687</v>
      </c>
    </row>
    <row r="198" spans="1:15" hidden="1" x14ac:dyDescent="0.25">
      <c r="A198" s="14">
        <v>44470</v>
      </c>
      <c r="B198" s="15" t="s">
        <v>205</v>
      </c>
      <c r="C198" s="15" t="s">
        <v>76</v>
      </c>
      <c r="D198" s="16">
        <v>-50000</v>
      </c>
      <c r="E198" s="16">
        <f t="shared" si="15"/>
        <v>50000</v>
      </c>
      <c r="F198" s="16" t="str">
        <f t="shared" si="16"/>
        <v>0</v>
      </c>
      <c r="G198" s="16">
        <f t="shared" si="17"/>
        <v>168019421</v>
      </c>
      <c r="H198" s="58" t="s">
        <v>667</v>
      </c>
      <c r="I198" s="58" t="s">
        <v>552</v>
      </c>
      <c r="J198" s="25" t="s">
        <v>325</v>
      </c>
      <c r="K198" s="25" t="s">
        <v>260</v>
      </c>
      <c r="L198" s="25" t="s">
        <v>258</v>
      </c>
    </row>
    <row r="199" spans="1:15" hidden="1" x14ac:dyDescent="0.25">
      <c r="A199" s="14">
        <v>44470</v>
      </c>
      <c r="B199" s="15" t="s">
        <v>206</v>
      </c>
      <c r="C199" s="15" t="s">
        <v>122</v>
      </c>
      <c r="D199" s="16">
        <v>-524246</v>
      </c>
      <c r="E199" s="16">
        <f t="shared" si="15"/>
        <v>524246</v>
      </c>
      <c r="F199" s="16" t="str">
        <f t="shared" si="16"/>
        <v>0</v>
      </c>
      <c r="G199" s="16">
        <f t="shared" si="17"/>
        <v>167495175</v>
      </c>
      <c r="H199" s="58"/>
      <c r="I199" s="58" t="s">
        <v>247</v>
      </c>
      <c r="J199" s="25"/>
      <c r="K199" s="25" t="s">
        <v>321</v>
      </c>
      <c r="L199" s="25" t="s">
        <v>322</v>
      </c>
    </row>
    <row r="200" spans="1:15" hidden="1" x14ac:dyDescent="0.25">
      <c r="A200" s="9">
        <v>44470</v>
      </c>
      <c r="B200" s="6" t="s">
        <v>207</v>
      </c>
      <c r="C200" s="6" t="s">
        <v>197</v>
      </c>
      <c r="D200" s="7">
        <v>-131262431</v>
      </c>
      <c r="E200" s="7">
        <f t="shared" si="15"/>
        <v>131262431</v>
      </c>
      <c r="F200" s="7" t="str">
        <f t="shared" si="16"/>
        <v>0</v>
      </c>
      <c r="G200" s="7">
        <f t="shared" si="17"/>
        <v>36232744</v>
      </c>
      <c r="H200" s="64"/>
      <c r="I200" s="64"/>
      <c r="J200" s="24" t="s">
        <v>339</v>
      </c>
      <c r="K200" s="24" t="s">
        <v>338</v>
      </c>
      <c r="L200" s="24" t="s">
        <v>337</v>
      </c>
    </row>
    <row r="201" spans="1:15" hidden="1" x14ac:dyDescent="0.25">
      <c r="A201" s="9">
        <v>44470</v>
      </c>
      <c r="B201" s="6" t="s">
        <v>207</v>
      </c>
      <c r="C201" s="6" t="s">
        <v>197</v>
      </c>
      <c r="D201" s="7">
        <v>-32815608</v>
      </c>
      <c r="E201" s="7">
        <f t="shared" si="15"/>
        <v>32815608</v>
      </c>
      <c r="F201" s="7" t="str">
        <f t="shared" si="16"/>
        <v>0</v>
      </c>
      <c r="G201" s="7">
        <f t="shared" si="17"/>
        <v>3417136</v>
      </c>
      <c r="H201" s="64"/>
      <c r="I201" s="64"/>
      <c r="J201" s="24" t="s">
        <v>339</v>
      </c>
      <c r="K201" s="24" t="s">
        <v>338</v>
      </c>
      <c r="L201" s="24" t="s">
        <v>337</v>
      </c>
    </row>
    <row r="202" spans="1:15" hidden="1" x14ac:dyDescent="0.25">
      <c r="A202" s="9">
        <v>44470</v>
      </c>
      <c r="B202" s="6" t="s">
        <v>208</v>
      </c>
      <c r="C202" s="6" t="s">
        <v>138</v>
      </c>
      <c r="D202" s="7">
        <v>17400000</v>
      </c>
      <c r="E202" s="7" t="str">
        <f t="shared" si="15"/>
        <v>0</v>
      </c>
      <c r="F202" s="7">
        <f t="shared" si="16"/>
        <v>17400000</v>
      </c>
      <c r="G202" s="7">
        <f t="shared" si="17"/>
        <v>20817136</v>
      </c>
      <c r="H202" s="35"/>
      <c r="I202" s="24"/>
      <c r="J202" s="24"/>
      <c r="K202" s="24" t="s">
        <v>318</v>
      </c>
      <c r="L202" s="24" t="s">
        <v>265</v>
      </c>
      <c r="M202" s="4">
        <v>44497</v>
      </c>
      <c r="N202" s="2">
        <v>20817136</v>
      </c>
      <c r="O202" s="2">
        <f>+G202-N202</f>
        <v>0</v>
      </c>
    </row>
    <row r="203" spans="1:15" hidden="1" x14ac:dyDescent="0.25">
      <c r="A203" s="9">
        <v>44501</v>
      </c>
      <c r="B203" s="6" t="s">
        <v>216</v>
      </c>
      <c r="C203" s="6" t="s">
        <v>209</v>
      </c>
      <c r="D203" s="7">
        <v>28800000</v>
      </c>
      <c r="E203" s="7" t="str">
        <f t="shared" si="15"/>
        <v>0</v>
      </c>
      <c r="F203" s="7">
        <f t="shared" ref="F203:F219" si="18">+IF(D203&lt;0,"0",D203)</f>
        <v>28800000</v>
      </c>
      <c r="G203" s="7">
        <f t="shared" ref="G203:G219" si="19">+F203-E203+G202</f>
        <v>49617136</v>
      </c>
      <c r="H203" s="35"/>
      <c r="I203" s="24"/>
      <c r="J203" s="24" t="s">
        <v>285</v>
      </c>
      <c r="K203" s="24" t="s">
        <v>286</v>
      </c>
      <c r="L203" s="24" t="s">
        <v>265</v>
      </c>
    </row>
    <row r="204" spans="1:15" hidden="1" x14ac:dyDescent="0.25">
      <c r="A204" s="9">
        <v>44501</v>
      </c>
      <c r="B204" s="6" t="s">
        <v>216</v>
      </c>
      <c r="C204" s="6" t="s">
        <v>210</v>
      </c>
      <c r="D204" s="7">
        <v>500000</v>
      </c>
      <c r="E204" s="7" t="str">
        <f t="shared" si="15"/>
        <v>0</v>
      </c>
      <c r="F204" s="7">
        <f t="shared" si="18"/>
        <v>500000</v>
      </c>
      <c r="G204" s="7">
        <f t="shared" si="19"/>
        <v>50117136</v>
      </c>
      <c r="H204" s="35"/>
      <c r="I204" s="24"/>
      <c r="J204" s="24" t="s">
        <v>273</v>
      </c>
      <c r="K204" s="24" t="s">
        <v>272</v>
      </c>
      <c r="L204" s="24" t="s">
        <v>265</v>
      </c>
    </row>
    <row r="205" spans="1:15" hidden="1" x14ac:dyDescent="0.25">
      <c r="A205" s="9">
        <v>44501</v>
      </c>
      <c r="B205" s="6" t="s">
        <v>216</v>
      </c>
      <c r="C205" s="6" t="s">
        <v>211</v>
      </c>
      <c r="D205" s="7">
        <v>1000</v>
      </c>
      <c r="E205" s="7" t="str">
        <f t="shared" si="15"/>
        <v>0</v>
      </c>
      <c r="F205" s="7">
        <f t="shared" si="18"/>
        <v>1000</v>
      </c>
      <c r="G205" s="7">
        <f t="shared" si="19"/>
        <v>50118136</v>
      </c>
      <c r="H205" s="35"/>
      <c r="I205" s="24"/>
      <c r="J205" s="24" t="s">
        <v>267</v>
      </c>
      <c r="K205" s="24" t="s">
        <v>268</v>
      </c>
      <c r="L205" s="24" t="s">
        <v>265</v>
      </c>
      <c r="M205" s="31" t="s">
        <v>269</v>
      </c>
    </row>
    <row r="206" spans="1:15" hidden="1" x14ac:dyDescent="0.25">
      <c r="A206" s="9">
        <v>44501</v>
      </c>
      <c r="B206" s="6" t="s">
        <v>216</v>
      </c>
      <c r="C206" s="6" t="s">
        <v>212</v>
      </c>
      <c r="D206" s="7">
        <v>-5019</v>
      </c>
      <c r="E206" s="7">
        <f t="shared" si="15"/>
        <v>5019</v>
      </c>
      <c r="F206" s="7" t="str">
        <f t="shared" si="18"/>
        <v>0</v>
      </c>
      <c r="G206" s="7">
        <f t="shared" si="19"/>
        <v>50113117</v>
      </c>
      <c r="H206" s="64"/>
      <c r="I206" s="64"/>
      <c r="J206" s="24"/>
      <c r="K206" s="24" t="s">
        <v>256</v>
      </c>
      <c r="L206" s="24" t="s">
        <v>259</v>
      </c>
    </row>
    <row r="207" spans="1:15" hidden="1" x14ac:dyDescent="0.25">
      <c r="A207" s="9">
        <v>44501</v>
      </c>
      <c r="B207" s="6" t="s">
        <v>217</v>
      </c>
      <c r="C207" s="6" t="s">
        <v>211</v>
      </c>
      <c r="D207" s="7">
        <v>1000000</v>
      </c>
      <c r="E207" s="7" t="str">
        <f t="shared" si="15"/>
        <v>0</v>
      </c>
      <c r="F207" s="7">
        <f t="shared" si="18"/>
        <v>1000000</v>
      </c>
      <c r="G207" s="7">
        <f t="shared" si="19"/>
        <v>51113117</v>
      </c>
      <c r="H207" s="35"/>
      <c r="I207" s="24"/>
      <c r="J207" s="24" t="s">
        <v>267</v>
      </c>
      <c r="K207" s="24" t="s">
        <v>268</v>
      </c>
      <c r="L207" s="24" t="s">
        <v>265</v>
      </c>
      <c r="M207" s="31" t="s">
        <v>269</v>
      </c>
    </row>
    <row r="208" spans="1:15" hidden="1" x14ac:dyDescent="0.25">
      <c r="A208" s="14">
        <v>44501</v>
      </c>
      <c r="B208" s="15" t="s">
        <v>218</v>
      </c>
      <c r="C208" s="15" t="s">
        <v>76</v>
      </c>
      <c r="D208" s="16">
        <v>-120000</v>
      </c>
      <c r="E208" s="16">
        <f t="shared" ref="E208:E230" si="20">+IF(D208&lt;0,-D208,"0")</f>
        <v>120000</v>
      </c>
      <c r="F208" s="16" t="str">
        <f t="shared" si="18"/>
        <v>0</v>
      </c>
      <c r="G208" s="16">
        <f t="shared" si="19"/>
        <v>50993117</v>
      </c>
      <c r="H208" s="58" t="s">
        <v>675</v>
      </c>
      <c r="I208" s="58" t="s">
        <v>640</v>
      </c>
      <c r="J208" s="25" t="s">
        <v>325</v>
      </c>
      <c r="K208" s="25" t="s">
        <v>260</v>
      </c>
      <c r="L208" s="25" t="s">
        <v>258</v>
      </c>
    </row>
    <row r="209" spans="1:15" hidden="1" x14ac:dyDescent="0.25">
      <c r="A209" s="14">
        <v>44501</v>
      </c>
      <c r="B209" s="15" t="s">
        <v>218</v>
      </c>
      <c r="C209" s="15" t="s">
        <v>76</v>
      </c>
      <c r="D209" s="16">
        <v>-65000</v>
      </c>
      <c r="E209" s="16">
        <f t="shared" si="20"/>
        <v>65000</v>
      </c>
      <c r="F209" s="16" t="str">
        <f t="shared" si="18"/>
        <v>0</v>
      </c>
      <c r="G209" s="16">
        <f t="shared" si="19"/>
        <v>50928117</v>
      </c>
      <c r="H209" s="58" t="s">
        <v>675</v>
      </c>
      <c r="I209" s="58" t="s">
        <v>676</v>
      </c>
      <c r="J209" s="25" t="s">
        <v>325</v>
      </c>
      <c r="K209" s="25" t="s">
        <v>260</v>
      </c>
      <c r="L209" s="25" t="s">
        <v>258</v>
      </c>
    </row>
    <row r="210" spans="1:15" hidden="1" x14ac:dyDescent="0.25">
      <c r="A210" s="9">
        <v>44501</v>
      </c>
      <c r="B210" s="6" t="s">
        <v>219</v>
      </c>
      <c r="C210" s="6" t="s">
        <v>213</v>
      </c>
      <c r="D210" s="7">
        <v>-884404</v>
      </c>
      <c r="E210" s="7">
        <f t="shared" si="20"/>
        <v>884404</v>
      </c>
      <c r="F210" s="7" t="str">
        <f t="shared" si="18"/>
        <v>0</v>
      </c>
      <c r="G210" s="7">
        <f t="shared" si="19"/>
        <v>50043713</v>
      </c>
      <c r="H210" s="64"/>
      <c r="I210" s="64"/>
      <c r="J210" s="24" t="s">
        <v>341</v>
      </c>
      <c r="K210" s="24" t="s">
        <v>340</v>
      </c>
      <c r="L210" s="24" t="s">
        <v>337</v>
      </c>
    </row>
    <row r="211" spans="1:15" hidden="1" x14ac:dyDescent="0.25">
      <c r="A211" s="14">
        <v>44501</v>
      </c>
      <c r="B211" s="15" t="s">
        <v>220</v>
      </c>
      <c r="C211" s="15" t="s">
        <v>167</v>
      </c>
      <c r="D211" s="16">
        <v>-4670750</v>
      </c>
      <c r="E211" s="16">
        <f t="shared" si="20"/>
        <v>4670750</v>
      </c>
      <c r="F211" s="16" t="str">
        <f t="shared" si="18"/>
        <v>0</v>
      </c>
      <c r="G211" s="16">
        <f t="shared" si="19"/>
        <v>45372963</v>
      </c>
      <c r="H211" s="58" t="s">
        <v>647</v>
      </c>
      <c r="I211" s="59" t="s">
        <v>663</v>
      </c>
      <c r="J211" s="25" t="s">
        <v>369</v>
      </c>
      <c r="K211" s="34" t="s">
        <v>368</v>
      </c>
      <c r="L211" s="25" t="s">
        <v>687</v>
      </c>
    </row>
    <row r="212" spans="1:15" hidden="1" x14ac:dyDescent="0.25">
      <c r="A212" s="9">
        <v>44501</v>
      </c>
      <c r="B212" s="6" t="s">
        <v>221</v>
      </c>
      <c r="C212" s="6" t="s">
        <v>214</v>
      </c>
      <c r="D212" s="7">
        <v>10900000</v>
      </c>
      <c r="E212" s="7" t="str">
        <f t="shared" si="20"/>
        <v>0</v>
      </c>
      <c r="F212" s="7">
        <f t="shared" si="18"/>
        <v>10900000</v>
      </c>
      <c r="G212" s="7">
        <f t="shared" si="19"/>
        <v>56272963</v>
      </c>
      <c r="H212" s="35"/>
      <c r="I212" s="24"/>
      <c r="J212" s="24" t="s">
        <v>290</v>
      </c>
      <c r="K212" s="24"/>
      <c r="L212" s="24"/>
    </row>
    <row r="213" spans="1:15" hidden="1" x14ac:dyDescent="0.25">
      <c r="A213" s="14">
        <v>44501</v>
      </c>
      <c r="B213" s="15" t="s">
        <v>221</v>
      </c>
      <c r="C213" s="15" t="s">
        <v>121</v>
      </c>
      <c r="D213" s="16">
        <v>-259420</v>
      </c>
      <c r="E213" s="16">
        <f t="shared" si="20"/>
        <v>259420</v>
      </c>
      <c r="F213" s="16" t="str">
        <f t="shared" si="18"/>
        <v>0</v>
      </c>
      <c r="G213" s="16">
        <f t="shared" si="19"/>
        <v>56013543</v>
      </c>
      <c r="H213" s="58" t="s">
        <v>647</v>
      </c>
      <c r="I213" s="59" t="s">
        <v>660</v>
      </c>
      <c r="J213" s="25" t="s">
        <v>364</v>
      </c>
      <c r="K213" s="25" t="s">
        <v>362</v>
      </c>
      <c r="L213" s="25" t="s">
        <v>687</v>
      </c>
    </row>
    <row r="214" spans="1:15" hidden="1" x14ac:dyDescent="0.25">
      <c r="A214" s="9">
        <v>44501</v>
      </c>
      <c r="B214" s="6" t="s">
        <v>222</v>
      </c>
      <c r="C214" s="6" t="s">
        <v>213</v>
      </c>
      <c r="D214" s="7">
        <v>-5000000</v>
      </c>
      <c r="E214" s="7">
        <f t="shared" si="20"/>
        <v>5000000</v>
      </c>
      <c r="F214" s="7" t="str">
        <f t="shared" si="18"/>
        <v>0</v>
      </c>
      <c r="G214" s="7">
        <f t="shared" si="19"/>
        <v>51013543</v>
      </c>
      <c r="H214" s="64"/>
      <c r="I214" s="64"/>
      <c r="J214" s="24" t="s">
        <v>341</v>
      </c>
      <c r="K214" s="24" t="s">
        <v>340</v>
      </c>
      <c r="L214" s="24" t="s">
        <v>337</v>
      </c>
    </row>
    <row r="215" spans="1:15" hidden="1" x14ac:dyDescent="0.25">
      <c r="A215" s="9">
        <v>44501</v>
      </c>
      <c r="B215" s="6" t="s">
        <v>223</v>
      </c>
      <c r="C215" s="6" t="s">
        <v>145</v>
      </c>
      <c r="D215" s="7">
        <v>5000000</v>
      </c>
      <c r="E215" s="7" t="str">
        <f t="shared" si="20"/>
        <v>0</v>
      </c>
      <c r="F215" s="7">
        <f t="shared" si="18"/>
        <v>5000000</v>
      </c>
      <c r="G215" s="7">
        <f t="shared" si="19"/>
        <v>56013543</v>
      </c>
      <c r="H215" s="35"/>
      <c r="I215" s="24"/>
      <c r="J215" s="24" t="s">
        <v>291</v>
      </c>
      <c r="K215" s="24"/>
      <c r="L215" s="24"/>
    </row>
    <row r="216" spans="1:15" hidden="1" x14ac:dyDescent="0.25">
      <c r="A216" s="9">
        <v>44501</v>
      </c>
      <c r="B216" s="6" t="s">
        <v>223</v>
      </c>
      <c r="C216" s="6" t="s">
        <v>192</v>
      </c>
      <c r="D216" s="7">
        <v>5000000</v>
      </c>
      <c r="E216" s="7" t="str">
        <f t="shared" si="20"/>
        <v>0</v>
      </c>
      <c r="F216" s="7">
        <f t="shared" si="18"/>
        <v>5000000</v>
      </c>
      <c r="G216" s="7">
        <f t="shared" si="19"/>
        <v>61013543</v>
      </c>
      <c r="H216" s="35"/>
      <c r="I216" s="24"/>
      <c r="J216" s="24" t="s">
        <v>293</v>
      </c>
      <c r="K216" s="24" t="s">
        <v>294</v>
      </c>
      <c r="L216" s="24" t="s">
        <v>295</v>
      </c>
    </row>
    <row r="217" spans="1:15" hidden="1" x14ac:dyDescent="0.25">
      <c r="A217" s="9">
        <v>44501</v>
      </c>
      <c r="B217" s="6" t="s">
        <v>223</v>
      </c>
      <c r="C217" s="6" t="s">
        <v>215</v>
      </c>
      <c r="D217" s="7">
        <v>-115000</v>
      </c>
      <c r="E217" s="7">
        <f t="shared" si="20"/>
        <v>115000</v>
      </c>
      <c r="F217" s="7" t="str">
        <f t="shared" si="18"/>
        <v>0</v>
      </c>
      <c r="G217" s="7">
        <f t="shared" si="19"/>
        <v>60898543</v>
      </c>
      <c r="H217" s="64"/>
      <c r="I217" s="64"/>
      <c r="J217" s="24" t="s">
        <v>354</v>
      </c>
      <c r="K217" s="24" t="s">
        <v>353</v>
      </c>
      <c r="L217" s="24"/>
    </row>
    <row r="218" spans="1:15" hidden="1" x14ac:dyDescent="0.25">
      <c r="A218" s="14">
        <v>44501</v>
      </c>
      <c r="B218" s="15" t="s">
        <v>223</v>
      </c>
      <c r="C218" s="15" t="s">
        <v>76</v>
      </c>
      <c r="D218" s="16">
        <v>-65000</v>
      </c>
      <c r="E218" s="16">
        <f t="shared" si="20"/>
        <v>65000</v>
      </c>
      <c r="F218" s="16" t="str">
        <f t="shared" si="18"/>
        <v>0</v>
      </c>
      <c r="G218" s="16">
        <f t="shared" si="19"/>
        <v>60833543</v>
      </c>
      <c r="H218" s="58" t="s">
        <v>675</v>
      </c>
      <c r="I218" s="58" t="s">
        <v>677</v>
      </c>
      <c r="J218" s="25" t="s">
        <v>325</v>
      </c>
      <c r="K218" s="25" t="s">
        <v>260</v>
      </c>
      <c r="L218" s="25" t="s">
        <v>258</v>
      </c>
    </row>
    <row r="219" spans="1:15" hidden="1" x14ac:dyDescent="0.25">
      <c r="A219" s="9">
        <v>44501</v>
      </c>
      <c r="B219" s="6" t="s">
        <v>224</v>
      </c>
      <c r="C219" s="6" t="s">
        <v>210</v>
      </c>
      <c r="D219" s="7">
        <v>5500000</v>
      </c>
      <c r="E219" s="7" t="str">
        <f t="shared" si="20"/>
        <v>0</v>
      </c>
      <c r="F219" s="7">
        <f t="shared" si="18"/>
        <v>5500000</v>
      </c>
      <c r="G219" s="7">
        <f t="shared" si="19"/>
        <v>66333543</v>
      </c>
      <c r="H219" s="35"/>
      <c r="I219" s="24"/>
      <c r="J219" s="24" t="s">
        <v>273</v>
      </c>
      <c r="K219" s="24" t="s">
        <v>272</v>
      </c>
      <c r="L219" s="24" t="s">
        <v>265</v>
      </c>
      <c r="M219" s="4">
        <v>44530</v>
      </c>
      <c r="N219" s="2">
        <v>66333543</v>
      </c>
      <c r="O219" s="2">
        <f>+G219-N219</f>
        <v>0</v>
      </c>
    </row>
    <row r="220" spans="1:15" hidden="1" x14ac:dyDescent="0.25">
      <c r="A220" s="9">
        <v>44531</v>
      </c>
      <c r="B220" s="6" t="s">
        <v>225</v>
      </c>
      <c r="C220" s="6" t="s">
        <v>210</v>
      </c>
      <c r="D220" s="7">
        <v>5500000</v>
      </c>
      <c r="E220" s="7" t="str">
        <f t="shared" si="20"/>
        <v>0</v>
      </c>
      <c r="F220" s="7">
        <f t="shared" ref="F220:F230" si="21">+IF(D220&lt;0,"0",D220)</f>
        <v>5500000</v>
      </c>
      <c r="G220" s="7">
        <f t="shared" ref="G220:G230" si="22">+F220-E220+G219</f>
        <v>71833543</v>
      </c>
      <c r="H220" s="35"/>
      <c r="I220" s="24"/>
      <c r="J220" s="24" t="s">
        <v>273</v>
      </c>
      <c r="K220" s="24" t="s">
        <v>272</v>
      </c>
      <c r="L220" s="24" t="s">
        <v>265</v>
      </c>
    </row>
    <row r="221" spans="1:15" hidden="1" x14ac:dyDescent="0.25">
      <c r="A221" s="9">
        <v>44531</v>
      </c>
      <c r="B221" s="6" t="s">
        <v>226</v>
      </c>
      <c r="C221" s="6" t="s">
        <v>210</v>
      </c>
      <c r="D221" s="7">
        <v>5400000</v>
      </c>
      <c r="E221" s="7" t="str">
        <f t="shared" si="20"/>
        <v>0</v>
      </c>
      <c r="F221" s="7">
        <f t="shared" si="21"/>
        <v>5400000</v>
      </c>
      <c r="G221" s="7">
        <f t="shared" si="22"/>
        <v>77233543</v>
      </c>
      <c r="H221" s="35"/>
      <c r="I221" s="24"/>
      <c r="J221" s="24" t="s">
        <v>273</v>
      </c>
      <c r="K221" s="24" t="s">
        <v>272</v>
      </c>
      <c r="L221" s="24" t="s">
        <v>265</v>
      </c>
    </row>
    <row r="222" spans="1:15" hidden="1" x14ac:dyDescent="0.25">
      <c r="A222" s="14">
        <v>44531</v>
      </c>
      <c r="B222" s="15" t="s">
        <v>226</v>
      </c>
      <c r="C222" s="15" t="s">
        <v>76</v>
      </c>
      <c r="D222" s="16">
        <v>-34000</v>
      </c>
      <c r="E222" s="16">
        <f t="shared" si="20"/>
        <v>34000</v>
      </c>
      <c r="F222" s="16" t="str">
        <f t="shared" si="21"/>
        <v>0</v>
      </c>
      <c r="G222" s="16">
        <f t="shared" si="22"/>
        <v>77199543</v>
      </c>
      <c r="H222" s="58" t="s">
        <v>675</v>
      </c>
      <c r="I222" s="58" t="s">
        <v>643</v>
      </c>
      <c r="J222" s="25" t="s">
        <v>325</v>
      </c>
      <c r="K222" s="25" t="s">
        <v>260</v>
      </c>
      <c r="L222" s="25" t="s">
        <v>258</v>
      </c>
    </row>
    <row r="223" spans="1:15" hidden="1" x14ac:dyDescent="0.25">
      <c r="A223" s="9">
        <v>44531</v>
      </c>
      <c r="B223" s="6" t="s">
        <v>227</v>
      </c>
      <c r="C223" s="6" t="s">
        <v>94</v>
      </c>
      <c r="D223" s="7">
        <v>-61412670</v>
      </c>
      <c r="E223" s="7">
        <f t="shared" si="20"/>
        <v>61412670</v>
      </c>
      <c r="F223" s="7" t="str">
        <f t="shared" si="21"/>
        <v>0</v>
      </c>
      <c r="G223" s="7">
        <f t="shared" si="22"/>
        <v>15786873</v>
      </c>
      <c r="H223" s="64"/>
      <c r="I223" s="64"/>
      <c r="J223" s="24" t="s">
        <v>293</v>
      </c>
      <c r="K223" s="24" t="s">
        <v>294</v>
      </c>
      <c r="L223" s="24" t="s">
        <v>337</v>
      </c>
    </row>
    <row r="224" spans="1:15" hidden="1" x14ac:dyDescent="0.25">
      <c r="A224" s="9">
        <v>44531</v>
      </c>
      <c r="B224" s="6" t="s">
        <v>227</v>
      </c>
      <c r="C224" s="6" t="s">
        <v>168</v>
      </c>
      <c r="D224" s="7">
        <v>-15353168</v>
      </c>
      <c r="E224" s="7">
        <f t="shared" si="20"/>
        <v>15353168</v>
      </c>
      <c r="F224" s="7" t="str">
        <f t="shared" si="21"/>
        <v>0</v>
      </c>
      <c r="G224" s="7">
        <f t="shared" si="22"/>
        <v>433705</v>
      </c>
      <c r="H224" s="64"/>
      <c r="I224" s="64"/>
      <c r="J224" s="24" t="s">
        <v>327</v>
      </c>
      <c r="K224" s="24" t="s">
        <v>326</v>
      </c>
      <c r="L224" s="24"/>
      <c r="M224" t="s">
        <v>328</v>
      </c>
    </row>
    <row r="225" spans="1:15" hidden="1" x14ac:dyDescent="0.25">
      <c r="A225" s="9">
        <v>44531</v>
      </c>
      <c r="B225" s="6" t="s">
        <v>228</v>
      </c>
      <c r="C225" s="6" t="s">
        <v>145</v>
      </c>
      <c r="D225" s="7">
        <v>5000000</v>
      </c>
      <c r="E225" s="7" t="str">
        <f t="shared" si="20"/>
        <v>0</v>
      </c>
      <c r="F225" s="7">
        <f t="shared" si="21"/>
        <v>5000000</v>
      </c>
      <c r="G225" s="7">
        <f t="shared" si="22"/>
        <v>5433705</v>
      </c>
      <c r="H225" s="35"/>
      <c r="I225" s="24"/>
      <c r="J225" s="24" t="s">
        <v>291</v>
      </c>
      <c r="K225" s="24"/>
      <c r="L225" s="24"/>
    </row>
    <row r="226" spans="1:15" hidden="1" x14ac:dyDescent="0.25">
      <c r="A226" s="9">
        <v>44531</v>
      </c>
      <c r="B226" s="6" t="s">
        <v>228</v>
      </c>
      <c r="C226" s="6" t="s">
        <v>167</v>
      </c>
      <c r="D226" s="7">
        <v>-13000</v>
      </c>
      <c r="E226" s="7">
        <f t="shared" si="20"/>
        <v>13000</v>
      </c>
      <c r="F226" s="7" t="str">
        <f t="shared" si="21"/>
        <v>0</v>
      </c>
      <c r="G226" s="7">
        <f t="shared" si="22"/>
        <v>5420705</v>
      </c>
      <c r="H226" s="64"/>
      <c r="I226" s="64"/>
      <c r="J226" s="24" t="s">
        <v>369</v>
      </c>
      <c r="K226" s="32" t="s">
        <v>368</v>
      </c>
      <c r="L226" s="24" t="s">
        <v>687</v>
      </c>
    </row>
    <row r="227" spans="1:15" hidden="1" x14ac:dyDescent="0.25">
      <c r="A227" s="14">
        <v>44531</v>
      </c>
      <c r="B227" s="15" t="s">
        <v>229</v>
      </c>
      <c r="C227" s="15" t="s">
        <v>76</v>
      </c>
      <c r="D227" s="16">
        <v>-50000</v>
      </c>
      <c r="E227" s="16">
        <f t="shared" si="20"/>
        <v>50000</v>
      </c>
      <c r="F227" s="16" t="str">
        <f t="shared" si="21"/>
        <v>0</v>
      </c>
      <c r="G227" s="16">
        <f t="shared" si="22"/>
        <v>5370705</v>
      </c>
      <c r="H227" s="58" t="s">
        <v>675</v>
      </c>
      <c r="I227" s="58" t="s">
        <v>645</v>
      </c>
      <c r="J227" s="25" t="s">
        <v>325</v>
      </c>
      <c r="K227" s="25" t="s">
        <v>260</v>
      </c>
      <c r="L227" s="25" t="s">
        <v>258</v>
      </c>
    </row>
    <row r="228" spans="1:15" hidden="1" x14ac:dyDescent="0.25">
      <c r="A228" s="14">
        <v>44531</v>
      </c>
      <c r="B228" s="15" t="s">
        <v>229</v>
      </c>
      <c r="C228" s="15" t="s">
        <v>76</v>
      </c>
      <c r="D228" s="16">
        <v>-20000</v>
      </c>
      <c r="E228" s="16">
        <f t="shared" si="20"/>
        <v>20000</v>
      </c>
      <c r="F228" s="16" t="str">
        <f t="shared" si="21"/>
        <v>0</v>
      </c>
      <c r="G228" s="16">
        <f t="shared" si="22"/>
        <v>5350705</v>
      </c>
      <c r="H228" s="58" t="s">
        <v>675</v>
      </c>
      <c r="I228" s="58" t="s">
        <v>644</v>
      </c>
      <c r="J228" s="25" t="s">
        <v>325</v>
      </c>
      <c r="K228" s="25" t="s">
        <v>260</v>
      </c>
      <c r="L228" s="25" t="s">
        <v>258</v>
      </c>
    </row>
    <row r="229" spans="1:15" hidden="1" x14ac:dyDescent="0.25">
      <c r="A229" s="9">
        <v>44531</v>
      </c>
      <c r="B229" s="6" t="s">
        <v>230</v>
      </c>
      <c r="C229" s="6" t="s">
        <v>145</v>
      </c>
      <c r="D229" s="7">
        <v>3400000</v>
      </c>
      <c r="E229" s="7" t="str">
        <f t="shared" si="20"/>
        <v>0</v>
      </c>
      <c r="F229" s="7">
        <f t="shared" si="21"/>
        <v>3400000</v>
      </c>
      <c r="G229" s="7">
        <f t="shared" si="22"/>
        <v>8750705</v>
      </c>
      <c r="H229" s="35"/>
      <c r="I229" s="24"/>
      <c r="J229" s="24" t="s">
        <v>291</v>
      </c>
      <c r="K229" s="24"/>
      <c r="L229" s="24"/>
    </row>
    <row r="230" spans="1:15" hidden="1" x14ac:dyDescent="0.25">
      <c r="A230" s="9">
        <v>44531</v>
      </c>
      <c r="B230" s="6" t="s">
        <v>231</v>
      </c>
      <c r="C230" s="6" t="s">
        <v>95</v>
      </c>
      <c r="D230" s="7">
        <v>-55000</v>
      </c>
      <c r="E230" s="7">
        <f t="shared" si="20"/>
        <v>55000</v>
      </c>
      <c r="F230" s="7" t="str">
        <f t="shared" si="21"/>
        <v>0</v>
      </c>
      <c r="G230" s="7">
        <f t="shared" si="22"/>
        <v>8695705</v>
      </c>
      <c r="H230" s="64"/>
      <c r="I230" s="64"/>
      <c r="J230" s="24" t="s">
        <v>261</v>
      </c>
      <c r="K230" s="24" t="s">
        <v>257</v>
      </c>
      <c r="L230" s="24" t="s">
        <v>258</v>
      </c>
      <c r="M230" s="4">
        <v>44558</v>
      </c>
      <c r="N230" s="2">
        <v>8695705</v>
      </c>
      <c r="O230" s="2">
        <f>+G230-N230</f>
        <v>0</v>
      </c>
    </row>
  </sheetData>
  <autoFilter ref="A2:L230" xr:uid="{0B5764E3-8B00-4B70-A92B-C1238ECC1F79}">
    <filterColumn colId="0">
      <filters>
        <dateGroupItem year="2021" month="7" dateTimeGrouping="month"/>
      </filters>
    </filterColumn>
    <filterColumn colId="11">
      <filters>
        <filter val="ANTICIPO TERRENO"/>
      </filters>
    </filterColumn>
  </autoFilter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29448-2962-432C-B34F-406371CE95A0}">
  <sheetPr>
    <tabColor theme="9"/>
  </sheetPr>
  <dimension ref="A1:Q27"/>
  <sheetViews>
    <sheetView topLeftCell="B1" zoomScale="60" zoomScaleNormal="60" workbookViewId="0">
      <selection activeCell="L2" sqref="L2:L22"/>
    </sheetView>
  </sheetViews>
  <sheetFormatPr defaultRowHeight="15" x14ac:dyDescent="0.25"/>
  <cols>
    <col min="1" max="1" width="4.140625" customWidth="1"/>
    <col min="2" max="2" width="8.28515625" bestFit="1" customWidth="1"/>
    <col min="3" max="3" width="12" bestFit="1" customWidth="1"/>
    <col min="4" max="4" width="12.42578125" bestFit="1" customWidth="1"/>
    <col min="5" max="5" width="50.42578125" bestFit="1" customWidth="1"/>
    <col min="6" max="6" width="19.140625" bestFit="1" customWidth="1"/>
    <col min="7" max="7" width="12.7109375" bestFit="1" customWidth="1"/>
    <col min="8" max="8" width="39.42578125" bestFit="1" customWidth="1"/>
    <col min="9" max="9" width="50" bestFit="1" customWidth="1"/>
    <col min="10" max="10" width="10.85546875" bestFit="1" customWidth="1"/>
    <col min="11" max="11" width="12.140625" bestFit="1" customWidth="1"/>
    <col min="12" max="12" width="14.42578125" bestFit="1" customWidth="1"/>
    <col min="13" max="13" width="24.140625" bestFit="1" customWidth="1"/>
    <col min="14" max="14" width="12.42578125" customWidth="1"/>
    <col min="15" max="15" width="11.28515625" bestFit="1" customWidth="1"/>
    <col min="16" max="16" width="13.140625" customWidth="1"/>
    <col min="17" max="17" width="10.42578125" customWidth="1"/>
  </cols>
  <sheetData>
    <row r="1" spans="1:17" ht="33.75" x14ac:dyDescent="0.25">
      <c r="A1" s="37" t="s">
        <v>385</v>
      </c>
      <c r="B1" s="37" t="s">
        <v>386</v>
      </c>
      <c r="C1" s="37" t="s">
        <v>15</v>
      </c>
      <c r="D1" s="37" t="s">
        <v>387</v>
      </c>
      <c r="E1" s="37" t="s">
        <v>388</v>
      </c>
      <c r="F1" s="37" t="s">
        <v>389</v>
      </c>
      <c r="G1" s="37" t="s">
        <v>390</v>
      </c>
      <c r="H1" s="37" t="s">
        <v>391</v>
      </c>
      <c r="I1" s="37" t="s">
        <v>392</v>
      </c>
      <c r="J1" s="37" t="s">
        <v>393</v>
      </c>
      <c r="K1" s="37" t="s">
        <v>394</v>
      </c>
      <c r="L1" s="37" t="s">
        <v>395</v>
      </c>
      <c r="M1" s="37" t="s">
        <v>396</v>
      </c>
      <c r="N1" s="37" t="s">
        <v>394</v>
      </c>
      <c r="O1" s="37" t="s">
        <v>397</v>
      </c>
      <c r="P1" s="37" t="s">
        <v>398</v>
      </c>
      <c r="Q1" s="37" t="s">
        <v>399</v>
      </c>
    </row>
    <row r="2" spans="1:17" x14ac:dyDescent="0.25">
      <c r="A2" s="12">
        <v>6</v>
      </c>
      <c r="B2" s="38" t="s">
        <v>427</v>
      </c>
      <c r="C2" s="39">
        <v>44309</v>
      </c>
      <c r="D2" s="40" t="str">
        <f t="shared" ref="D2:D21" si="0">+TEXT(C2,"MMMM")</f>
        <v>Abril</v>
      </c>
      <c r="E2" s="40" t="s">
        <v>428</v>
      </c>
      <c r="F2" s="40" t="s">
        <v>402</v>
      </c>
      <c r="G2" s="40" t="s">
        <v>429</v>
      </c>
      <c r="H2" s="40" t="s">
        <v>430</v>
      </c>
      <c r="I2" s="40" t="s">
        <v>431</v>
      </c>
      <c r="J2" s="40">
        <v>11906</v>
      </c>
      <c r="K2" s="40" t="s">
        <v>406</v>
      </c>
      <c r="L2" s="20">
        <v>65000</v>
      </c>
      <c r="M2" s="40" t="s">
        <v>407</v>
      </c>
      <c r="N2" s="40" t="s">
        <v>432</v>
      </c>
      <c r="O2" s="40" t="s">
        <v>409</v>
      </c>
      <c r="P2" s="40" t="s">
        <v>410</v>
      </c>
      <c r="Q2" s="40" t="s">
        <v>411</v>
      </c>
    </row>
    <row r="3" spans="1:17" x14ac:dyDescent="0.25">
      <c r="A3" s="12">
        <v>8</v>
      </c>
      <c r="B3" s="38" t="s">
        <v>439</v>
      </c>
      <c r="C3" s="39">
        <v>44329</v>
      </c>
      <c r="D3" s="40" t="str">
        <f t="shared" si="0"/>
        <v>Mayo</v>
      </c>
      <c r="E3" s="40" t="s">
        <v>440</v>
      </c>
      <c r="F3" s="40" t="s">
        <v>413</v>
      </c>
      <c r="G3" s="40" t="s">
        <v>441</v>
      </c>
      <c r="H3" s="40" t="s">
        <v>442</v>
      </c>
      <c r="I3" s="40" t="s">
        <v>415</v>
      </c>
      <c r="J3" s="40">
        <v>307500770</v>
      </c>
      <c r="K3" s="40" t="s">
        <v>406</v>
      </c>
      <c r="L3" s="20">
        <v>32005</v>
      </c>
      <c r="M3" s="40" t="s">
        <v>443</v>
      </c>
      <c r="N3" s="40" t="s">
        <v>432</v>
      </c>
      <c r="O3" s="40" t="s">
        <v>409</v>
      </c>
      <c r="P3" s="40" t="s">
        <v>410</v>
      </c>
      <c r="Q3" s="40" t="s">
        <v>411</v>
      </c>
    </row>
    <row r="4" spans="1:17" x14ac:dyDescent="0.25">
      <c r="A4" s="12">
        <v>14</v>
      </c>
      <c r="B4" s="38" t="s">
        <v>464</v>
      </c>
      <c r="C4" s="39">
        <v>44328</v>
      </c>
      <c r="D4" s="40" t="str">
        <f t="shared" si="0"/>
        <v>Mayo</v>
      </c>
      <c r="E4" s="40" t="s">
        <v>440</v>
      </c>
      <c r="F4" s="40" t="s">
        <v>413</v>
      </c>
      <c r="G4" s="40" t="s">
        <v>465</v>
      </c>
      <c r="H4" s="40" t="s">
        <v>466</v>
      </c>
      <c r="I4" s="40" t="s">
        <v>415</v>
      </c>
      <c r="J4" s="40">
        <v>687200</v>
      </c>
      <c r="K4" s="40" t="s">
        <v>406</v>
      </c>
      <c r="L4" s="20">
        <v>34032</v>
      </c>
      <c r="M4" s="40" t="s">
        <v>443</v>
      </c>
      <c r="N4" s="40" t="s">
        <v>432</v>
      </c>
      <c r="O4" s="40" t="s">
        <v>409</v>
      </c>
      <c r="P4" s="40" t="s">
        <v>410</v>
      </c>
      <c r="Q4" s="40" t="s">
        <v>411</v>
      </c>
    </row>
    <row r="5" spans="1:17" x14ac:dyDescent="0.25">
      <c r="A5" s="12">
        <v>24</v>
      </c>
      <c r="B5" s="38" t="s">
        <v>480</v>
      </c>
      <c r="C5" s="39">
        <v>44326</v>
      </c>
      <c r="D5" s="40" t="str">
        <f t="shared" si="0"/>
        <v>Mayo</v>
      </c>
      <c r="E5" s="40" t="s">
        <v>481</v>
      </c>
      <c r="F5" s="40" t="s">
        <v>482</v>
      </c>
      <c r="G5" s="40" t="s">
        <v>441</v>
      </c>
      <c r="H5" s="40" t="s">
        <v>483</v>
      </c>
      <c r="I5" s="40" t="s">
        <v>484</v>
      </c>
      <c r="J5" s="40">
        <v>308890496</v>
      </c>
      <c r="K5" s="40" t="s">
        <v>406</v>
      </c>
      <c r="L5" s="20">
        <v>4400</v>
      </c>
      <c r="M5" s="40" t="s">
        <v>443</v>
      </c>
      <c r="N5" s="40" t="s">
        <v>432</v>
      </c>
      <c r="O5" s="40" t="s">
        <v>409</v>
      </c>
      <c r="P5" s="40" t="s">
        <v>410</v>
      </c>
      <c r="Q5" s="40" t="s">
        <v>411</v>
      </c>
    </row>
    <row r="6" spans="1:17" x14ac:dyDescent="0.25">
      <c r="A6" s="12">
        <v>25</v>
      </c>
      <c r="B6" s="38" t="s">
        <v>485</v>
      </c>
      <c r="C6" s="39">
        <v>44326</v>
      </c>
      <c r="D6" s="40" t="str">
        <f t="shared" si="0"/>
        <v>Mayo</v>
      </c>
      <c r="E6" s="40" t="s">
        <v>481</v>
      </c>
      <c r="F6" s="40" t="s">
        <v>482</v>
      </c>
      <c r="G6" s="40" t="s">
        <v>441</v>
      </c>
      <c r="H6" s="40" t="s">
        <v>483</v>
      </c>
      <c r="I6" s="40" t="s">
        <v>484</v>
      </c>
      <c r="J6" s="40">
        <v>304499923</v>
      </c>
      <c r="K6" s="40" t="s">
        <v>406</v>
      </c>
      <c r="L6" s="20">
        <v>8350</v>
      </c>
      <c r="M6" s="40" t="s">
        <v>443</v>
      </c>
      <c r="N6" s="40" t="s">
        <v>432</v>
      </c>
      <c r="O6" s="40" t="s">
        <v>409</v>
      </c>
      <c r="P6" s="40" t="s">
        <v>410</v>
      </c>
      <c r="Q6" s="40" t="s">
        <v>411</v>
      </c>
    </row>
    <row r="7" spans="1:17" x14ac:dyDescent="0.25">
      <c r="A7" s="12">
        <v>29</v>
      </c>
      <c r="B7" s="38" t="s">
        <v>489</v>
      </c>
      <c r="C7" s="39">
        <v>44326</v>
      </c>
      <c r="D7" s="40" t="str">
        <f t="shared" si="0"/>
        <v>Mayo</v>
      </c>
      <c r="E7" s="40" t="s">
        <v>490</v>
      </c>
      <c r="F7" s="40" t="s">
        <v>413</v>
      </c>
      <c r="G7" s="40" t="s">
        <v>441</v>
      </c>
      <c r="H7" s="40" t="s">
        <v>483</v>
      </c>
      <c r="I7" s="40" t="s">
        <v>484</v>
      </c>
      <c r="J7" s="40">
        <v>307454381</v>
      </c>
      <c r="K7" s="40" t="s">
        <v>406</v>
      </c>
      <c r="L7" s="20">
        <v>24502</v>
      </c>
      <c r="M7" s="40" t="s">
        <v>443</v>
      </c>
      <c r="N7" s="40" t="s">
        <v>432</v>
      </c>
      <c r="O7" s="40" t="s">
        <v>409</v>
      </c>
      <c r="P7" s="40" t="s">
        <v>410</v>
      </c>
      <c r="Q7" s="40" t="s">
        <v>411</v>
      </c>
    </row>
    <row r="8" spans="1:17" x14ac:dyDescent="0.25">
      <c r="A8" s="12">
        <v>32</v>
      </c>
      <c r="B8" s="38" t="s">
        <v>493</v>
      </c>
      <c r="C8" s="39">
        <v>44328</v>
      </c>
      <c r="D8" s="40" t="str">
        <f t="shared" si="0"/>
        <v>Mayo</v>
      </c>
      <c r="E8" s="40" t="s">
        <v>490</v>
      </c>
      <c r="F8" s="40" t="s">
        <v>413</v>
      </c>
      <c r="G8" s="40" t="s">
        <v>441</v>
      </c>
      <c r="H8" s="40" t="s">
        <v>483</v>
      </c>
      <c r="I8" s="40" t="s">
        <v>484</v>
      </c>
      <c r="J8" s="40">
        <v>307246920</v>
      </c>
      <c r="K8" s="40" t="s">
        <v>406</v>
      </c>
      <c r="L8" s="20">
        <v>32006</v>
      </c>
      <c r="M8" s="40" t="s">
        <v>443</v>
      </c>
      <c r="N8" s="40" t="s">
        <v>432</v>
      </c>
      <c r="O8" s="40" t="s">
        <v>409</v>
      </c>
      <c r="P8" s="40" t="s">
        <v>410</v>
      </c>
      <c r="Q8" s="40" t="s">
        <v>411</v>
      </c>
    </row>
    <row r="9" spans="1:17" x14ac:dyDescent="0.25">
      <c r="A9" s="12">
        <v>35</v>
      </c>
      <c r="B9" s="38" t="s">
        <v>497</v>
      </c>
      <c r="C9" s="39">
        <v>44326</v>
      </c>
      <c r="D9" s="40" t="str">
        <f t="shared" si="0"/>
        <v>Mayo</v>
      </c>
      <c r="E9" s="40" t="s">
        <v>490</v>
      </c>
      <c r="F9" s="40" t="s">
        <v>413</v>
      </c>
      <c r="G9" s="40" t="s">
        <v>441</v>
      </c>
      <c r="H9" s="40" t="s">
        <v>483</v>
      </c>
      <c r="I9" s="40" t="s">
        <v>484</v>
      </c>
      <c r="J9" s="40">
        <v>307289811</v>
      </c>
      <c r="K9" s="40" t="s">
        <v>406</v>
      </c>
      <c r="L9" s="20">
        <v>31972</v>
      </c>
      <c r="M9" s="40" t="s">
        <v>443</v>
      </c>
      <c r="N9" s="40" t="s">
        <v>432</v>
      </c>
      <c r="O9" s="40" t="s">
        <v>409</v>
      </c>
      <c r="P9" s="40" t="s">
        <v>410</v>
      </c>
      <c r="Q9" s="40" t="s">
        <v>411</v>
      </c>
    </row>
    <row r="10" spans="1:17" x14ac:dyDescent="0.25">
      <c r="A10" s="12">
        <v>40</v>
      </c>
      <c r="B10" s="38" t="s">
        <v>500</v>
      </c>
      <c r="C10" s="39">
        <v>44323</v>
      </c>
      <c r="D10" s="40" t="str">
        <f t="shared" si="0"/>
        <v>Mayo</v>
      </c>
      <c r="E10" s="40" t="s">
        <v>490</v>
      </c>
      <c r="F10" s="40" t="s">
        <v>413</v>
      </c>
      <c r="G10" s="40" t="s">
        <v>501</v>
      </c>
      <c r="H10" s="40" t="s">
        <v>502</v>
      </c>
      <c r="I10" s="40" t="s">
        <v>484</v>
      </c>
      <c r="J10" s="40">
        <v>2595787</v>
      </c>
      <c r="K10" s="40" t="s">
        <v>406</v>
      </c>
      <c r="L10" s="20">
        <v>37937</v>
      </c>
      <c r="M10" s="40" t="s">
        <v>443</v>
      </c>
      <c r="N10" s="40" t="s">
        <v>432</v>
      </c>
      <c r="O10" s="40" t="s">
        <v>409</v>
      </c>
      <c r="P10" s="40" t="s">
        <v>410</v>
      </c>
      <c r="Q10" s="40" t="s">
        <v>411</v>
      </c>
    </row>
    <row r="11" spans="1:17" x14ac:dyDescent="0.25">
      <c r="A11" s="12">
        <v>43</v>
      </c>
      <c r="B11" s="38" t="s">
        <v>505</v>
      </c>
      <c r="C11" s="39">
        <v>44329</v>
      </c>
      <c r="D11" s="40" t="str">
        <f t="shared" si="0"/>
        <v>Mayo</v>
      </c>
      <c r="E11" s="40" t="s">
        <v>490</v>
      </c>
      <c r="F11" s="40" t="s">
        <v>482</v>
      </c>
      <c r="G11" s="40" t="s">
        <v>506</v>
      </c>
      <c r="H11" s="40" t="s">
        <v>507</v>
      </c>
      <c r="I11" s="40" t="s">
        <v>484</v>
      </c>
      <c r="J11" s="40">
        <v>12092</v>
      </c>
      <c r="K11" s="40" t="s">
        <v>406</v>
      </c>
      <c r="L11" s="20">
        <v>40000</v>
      </c>
      <c r="M11" s="40" t="s">
        <v>443</v>
      </c>
      <c r="N11" s="40" t="s">
        <v>432</v>
      </c>
      <c r="O11" s="40" t="s">
        <v>409</v>
      </c>
      <c r="P11" s="40" t="s">
        <v>410</v>
      </c>
      <c r="Q11" s="40" t="s">
        <v>411</v>
      </c>
    </row>
    <row r="12" spans="1:17" x14ac:dyDescent="0.25">
      <c r="A12" s="12">
        <v>48</v>
      </c>
      <c r="B12" s="38" t="s">
        <v>512</v>
      </c>
      <c r="C12" s="39">
        <v>44323</v>
      </c>
      <c r="D12" s="40" t="str">
        <f t="shared" si="0"/>
        <v>Mayo</v>
      </c>
      <c r="E12" s="40" t="s">
        <v>401</v>
      </c>
      <c r="F12" s="40" t="s">
        <v>401</v>
      </c>
      <c r="G12" s="40"/>
      <c r="H12" s="40" t="s">
        <v>513</v>
      </c>
      <c r="I12" s="40" t="s">
        <v>401</v>
      </c>
      <c r="J12" s="40">
        <v>929</v>
      </c>
      <c r="K12" s="40" t="s">
        <v>406</v>
      </c>
      <c r="L12" s="20">
        <v>34000</v>
      </c>
      <c r="M12" s="40" t="s">
        <v>443</v>
      </c>
      <c r="N12" s="40" t="s">
        <v>432</v>
      </c>
      <c r="O12" s="40" t="s">
        <v>409</v>
      </c>
      <c r="P12" s="40" t="s">
        <v>410</v>
      </c>
      <c r="Q12" s="40" t="s">
        <v>411</v>
      </c>
    </row>
    <row r="13" spans="1:17" x14ac:dyDescent="0.25">
      <c r="A13" s="12">
        <v>50</v>
      </c>
      <c r="B13" s="38" t="s">
        <v>515</v>
      </c>
      <c r="C13" s="39">
        <v>44330</v>
      </c>
      <c r="D13" s="40" t="str">
        <f t="shared" si="0"/>
        <v>Mayo</v>
      </c>
      <c r="E13" s="40" t="s">
        <v>426</v>
      </c>
      <c r="F13" s="40" t="s">
        <v>402</v>
      </c>
      <c r="G13" s="40" t="s">
        <v>420</v>
      </c>
      <c r="H13" s="40" t="s">
        <v>421</v>
      </c>
      <c r="I13" s="40" t="s">
        <v>422</v>
      </c>
      <c r="J13" s="40">
        <v>220105</v>
      </c>
      <c r="K13" s="40" t="s">
        <v>406</v>
      </c>
      <c r="L13" s="20">
        <v>20000</v>
      </c>
      <c r="M13" s="40" t="s">
        <v>407</v>
      </c>
      <c r="N13" s="40" t="s">
        <v>432</v>
      </c>
      <c r="O13" s="40" t="s">
        <v>409</v>
      </c>
      <c r="P13" s="40" t="s">
        <v>410</v>
      </c>
      <c r="Q13" s="40" t="s">
        <v>411</v>
      </c>
    </row>
    <row r="14" spans="1:17" x14ac:dyDescent="0.25">
      <c r="A14" s="12">
        <v>51</v>
      </c>
      <c r="B14" s="38" t="s">
        <v>516</v>
      </c>
      <c r="C14" s="39">
        <v>44330</v>
      </c>
      <c r="D14" s="40" t="str">
        <f t="shared" si="0"/>
        <v>Mayo</v>
      </c>
      <c r="E14" s="40" t="s">
        <v>426</v>
      </c>
      <c r="F14" s="40" t="s">
        <v>402</v>
      </c>
      <c r="G14" s="40" t="s">
        <v>420</v>
      </c>
      <c r="H14" s="40" t="s">
        <v>421</v>
      </c>
      <c r="I14" s="40" t="s">
        <v>422</v>
      </c>
      <c r="J14" s="40">
        <v>220106</v>
      </c>
      <c r="K14" s="40" t="s">
        <v>406</v>
      </c>
      <c r="L14" s="20">
        <v>45000</v>
      </c>
      <c r="M14" s="40" t="s">
        <v>407</v>
      </c>
      <c r="N14" s="40" t="s">
        <v>432</v>
      </c>
      <c r="O14" s="40" t="s">
        <v>409</v>
      </c>
      <c r="P14" s="40" t="s">
        <v>410</v>
      </c>
      <c r="Q14" s="40" t="s">
        <v>411</v>
      </c>
    </row>
    <row r="15" spans="1:17" x14ac:dyDescent="0.25">
      <c r="A15" s="12">
        <v>52</v>
      </c>
      <c r="B15" s="38" t="s">
        <v>517</v>
      </c>
      <c r="C15" s="39">
        <v>44348</v>
      </c>
      <c r="D15" s="40" t="str">
        <f t="shared" si="0"/>
        <v>Junio</v>
      </c>
      <c r="E15" s="40" t="s">
        <v>402</v>
      </c>
      <c r="F15" s="40" t="s">
        <v>402</v>
      </c>
      <c r="G15" s="40" t="s">
        <v>420</v>
      </c>
      <c r="H15" s="40" t="s">
        <v>421</v>
      </c>
      <c r="I15" s="40" t="s">
        <v>422</v>
      </c>
      <c r="J15" s="40">
        <v>30028</v>
      </c>
      <c r="K15" s="40" t="s">
        <v>406</v>
      </c>
      <c r="L15" s="20">
        <v>65000</v>
      </c>
      <c r="M15" s="40" t="s">
        <v>407</v>
      </c>
      <c r="N15" s="40" t="s">
        <v>432</v>
      </c>
      <c r="O15" s="40" t="s">
        <v>409</v>
      </c>
      <c r="P15" s="40" t="s">
        <v>410</v>
      </c>
      <c r="Q15" s="40" t="s">
        <v>411</v>
      </c>
    </row>
    <row r="16" spans="1:17" x14ac:dyDescent="0.25">
      <c r="A16" s="12">
        <v>53</v>
      </c>
      <c r="B16" s="38" t="s">
        <v>518</v>
      </c>
      <c r="C16" s="39">
        <v>44376</v>
      </c>
      <c r="D16" s="40" t="str">
        <f t="shared" si="0"/>
        <v>Junio</v>
      </c>
      <c r="E16" s="40" t="s">
        <v>424</v>
      </c>
      <c r="F16" s="40" t="s">
        <v>402</v>
      </c>
      <c r="G16" s="40" t="s">
        <v>420</v>
      </c>
      <c r="H16" s="40" t="s">
        <v>421</v>
      </c>
      <c r="I16" s="40" t="s">
        <v>422</v>
      </c>
      <c r="J16" s="40">
        <v>225159</v>
      </c>
      <c r="K16" s="40" t="s">
        <v>406</v>
      </c>
      <c r="L16" s="20">
        <v>90000</v>
      </c>
      <c r="M16" s="40" t="s">
        <v>407</v>
      </c>
      <c r="N16" s="40" t="s">
        <v>432</v>
      </c>
      <c r="O16" s="40" t="s">
        <v>409</v>
      </c>
      <c r="P16" s="40" t="s">
        <v>410</v>
      </c>
      <c r="Q16" s="40" t="s">
        <v>411</v>
      </c>
    </row>
    <row r="17" spans="1:17" x14ac:dyDescent="0.25">
      <c r="A17" s="12">
        <v>55</v>
      </c>
      <c r="B17" s="38" t="s">
        <v>520</v>
      </c>
      <c r="C17" s="39">
        <v>44362</v>
      </c>
      <c r="D17" s="40" t="str">
        <f t="shared" si="0"/>
        <v>Junio</v>
      </c>
      <c r="E17" s="40" t="s">
        <v>521</v>
      </c>
      <c r="F17" s="40" t="s">
        <v>401</v>
      </c>
      <c r="G17" s="40" t="s">
        <v>522</v>
      </c>
      <c r="H17" s="40" t="s">
        <v>523</v>
      </c>
      <c r="I17" s="40" t="s">
        <v>524</v>
      </c>
      <c r="J17" s="40" t="s">
        <v>525</v>
      </c>
      <c r="K17" s="40" t="s">
        <v>406</v>
      </c>
      <c r="L17" s="20">
        <v>107264</v>
      </c>
      <c r="M17" s="40" t="s">
        <v>417</v>
      </c>
      <c r="N17" s="40" t="s">
        <v>432</v>
      </c>
      <c r="O17" s="40" t="s">
        <v>409</v>
      </c>
      <c r="P17" s="40" t="s">
        <v>410</v>
      </c>
      <c r="Q17" s="40" t="s">
        <v>411</v>
      </c>
    </row>
    <row r="18" spans="1:17" x14ac:dyDescent="0.25">
      <c r="A18" s="12">
        <v>59</v>
      </c>
      <c r="B18" s="38" t="s">
        <v>533</v>
      </c>
      <c r="C18" s="39">
        <v>44449</v>
      </c>
      <c r="D18" s="40" t="str">
        <f t="shared" si="0"/>
        <v>Septiembre</v>
      </c>
      <c r="E18" s="40" t="s">
        <v>527</v>
      </c>
      <c r="F18" s="40" t="s">
        <v>402</v>
      </c>
      <c r="G18" s="40" t="s">
        <v>429</v>
      </c>
      <c r="H18" s="40" t="s">
        <v>430</v>
      </c>
      <c r="I18" s="40" t="s">
        <v>431</v>
      </c>
      <c r="J18" s="40">
        <v>17130</v>
      </c>
      <c r="K18" s="40" t="s">
        <v>406</v>
      </c>
      <c r="L18" s="20">
        <v>170000</v>
      </c>
      <c r="M18" s="40" t="s">
        <v>407</v>
      </c>
      <c r="N18" s="40" t="s">
        <v>432</v>
      </c>
      <c r="O18" s="40" t="s">
        <v>409</v>
      </c>
      <c r="P18" s="40" t="s">
        <v>410</v>
      </c>
      <c r="Q18" s="40" t="s">
        <v>411</v>
      </c>
    </row>
    <row r="19" spans="1:17" x14ac:dyDescent="0.25">
      <c r="A19" s="12">
        <v>61</v>
      </c>
      <c r="B19" s="38" t="s">
        <v>535</v>
      </c>
      <c r="C19" s="39">
        <v>44478</v>
      </c>
      <c r="D19" s="40" t="str">
        <f t="shared" si="0"/>
        <v>Octubre</v>
      </c>
      <c r="E19" s="40" t="s">
        <v>457</v>
      </c>
      <c r="F19" s="40" t="s">
        <v>482</v>
      </c>
      <c r="G19" s="40" t="s">
        <v>536</v>
      </c>
      <c r="H19" s="40" t="s">
        <v>537</v>
      </c>
      <c r="I19" s="40" t="s">
        <v>460</v>
      </c>
      <c r="J19" s="40">
        <v>5037</v>
      </c>
      <c r="K19" s="40" t="s">
        <v>406</v>
      </c>
      <c r="L19" s="20">
        <v>37730</v>
      </c>
      <c r="M19" s="40" t="s">
        <v>443</v>
      </c>
      <c r="N19" s="40" t="s">
        <v>432</v>
      </c>
      <c r="O19" s="40" t="s">
        <v>409</v>
      </c>
      <c r="P19" s="40" t="s">
        <v>410</v>
      </c>
      <c r="Q19" s="40" t="s">
        <v>411</v>
      </c>
    </row>
    <row r="20" spans="1:17" x14ac:dyDescent="0.25">
      <c r="A20" s="12">
        <v>64</v>
      </c>
      <c r="B20" s="38" t="s">
        <v>545</v>
      </c>
      <c r="C20" s="39">
        <v>44478</v>
      </c>
      <c r="D20" s="40" t="str">
        <f t="shared" si="0"/>
        <v>Octubre</v>
      </c>
      <c r="E20" s="40" t="s">
        <v>542</v>
      </c>
      <c r="F20" s="40" t="s">
        <v>413</v>
      </c>
      <c r="G20" s="40" t="s">
        <v>441</v>
      </c>
      <c r="H20" s="40" t="s">
        <v>483</v>
      </c>
      <c r="I20" s="40" t="s">
        <v>484</v>
      </c>
      <c r="J20" s="40">
        <v>330665880</v>
      </c>
      <c r="K20" s="40" t="s">
        <v>406</v>
      </c>
      <c r="L20" s="20">
        <v>20004</v>
      </c>
      <c r="M20" s="40" t="s">
        <v>443</v>
      </c>
      <c r="N20" s="40" t="s">
        <v>432</v>
      </c>
      <c r="O20" s="40" t="s">
        <v>409</v>
      </c>
      <c r="P20" s="40" t="s">
        <v>410</v>
      </c>
      <c r="Q20" s="40" t="s">
        <v>411</v>
      </c>
    </row>
    <row r="21" spans="1:17" x14ac:dyDescent="0.25">
      <c r="A21" s="12">
        <v>66</v>
      </c>
      <c r="B21" s="38" t="s">
        <v>547</v>
      </c>
      <c r="C21" s="39">
        <v>44480</v>
      </c>
      <c r="D21" s="40" t="str">
        <f t="shared" si="0"/>
        <v>Octubre</v>
      </c>
      <c r="E21" s="40" t="s">
        <v>542</v>
      </c>
      <c r="F21" s="40" t="s">
        <v>413</v>
      </c>
      <c r="G21" s="40" t="s">
        <v>548</v>
      </c>
      <c r="H21" s="40" t="s">
        <v>549</v>
      </c>
      <c r="I21" s="40" t="s">
        <v>484</v>
      </c>
      <c r="J21" s="40">
        <v>63781</v>
      </c>
      <c r="K21" s="40" t="s">
        <v>406</v>
      </c>
      <c r="L21" s="20">
        <v>24021</v>
      </c>
      <c r="M21" s="40" t="s">
        <v>443</v>
      </c>
      <c r="N21" s="40" t="s">
        <v>432</v>
      </c>
      <c r="O21" s="40" t="s">
        <v>409</v>
      </c>
      <c r="P21" s="40" t="s">
        <v>410</v>
      </c>
      <c r="Q21" s="40" t="s">
        <v>411</v>
      </c>
    </row>
    <row r="22" spans="1:17" x14ac:dyDescent="0.25">
      <c r="A22" s="12">
        <v>69</v>
      </c>
      <c r="B22" s="38" t="s">
        <v>552</v>
      </c>
      <c r="C22" s="39">
        <v>44489</v>
      </c>
      <c r="D22" s="40" t="str">
        <f t="shared" ref="D22" si="1">+TEXT(C22,"MMMM")</f>
        <v>Octubre</v>
      </c>
      <c r="E22" s="40" t="s">
        <v>553</v>
      </c>
      <c r="F22" s="40" t="s">
        <v>402</v>
      </c>
      <c r="G22" s="40" t="s">
        <v>420</v>
      </c>
      <c r="H22" s="40" t="s">
        <v>421</v>
      </c>
      <c r="I22" s="40" t="s">
        <v>422</v>
      </c>
      <c r="J22" s="40">
        <v>16639</v>
      </c>
      <c r="K22" s="40" t="s">
        <v>406</v>
      </c>
      <c r="L22" s="20">
        <v>50000</v>
      </c>
      <c r="M22" s="40" t="s">
        <v>407</v>
      </c>
      <c r="N22" s="40" t="s">
        <v>432</v>
      </c>
      <c r="O22" s="40" t="s">
        <v>409</v>
      </c>
      <c r="P22" s="40" t="s">
        <v>410</v>
      </c>
      <c r="Q22" s="40" t="s">
        <v>411</v>
      </c>
    </row>
    <row r="24" spans="1:17" x14ac:dyDescent="0.25">
      <c r="L24" s="42">
        <f>+SUM(L2:L22)</f>
        <v>973223</v>
      </c>
    </row>
    <row r="27" spans="1:17" x14ac:dyDescent="0.25">
      <c r="M27" t="s">
        <v>704</v>
      </c>
    </row>
  </sheetData>
  <autoFilter ref="L1:M22" xr:uid="{41729448-2962-432C-B34F-406371CE95A0}"/>
  <dataValidations count="3">
    <dataValidation type="list" allowBlank="1" showInputMessage="1" showErrorMessage="1" sqref="P22 P12:P19 P2:P4" xr:uid="{74DDCD25-7001-404C-A72B-5D35132C3D43}">
      <formula1>"1.- Aceptado, 2.- Aceptado Extemporaneo, 3.- Aceptado no considerado, 4.- Observado, 5.- Sin Respaldo, 6.- No Aceptado"</formula1>
    </dataValidation>
    <dataValidation type="list" allowBlank="1" showInputMessage="1" showErrorMessage="1" sqref="P5:P6 P7 P8 P9 P20:P21 P10:P11" xr:uid="{18BA0687-8D0E-4E43-91ED-3DE6C5F6AE9E}">
      <formula1>"1.- Aceptado, 2.- Aceptado Extemporaneo, 3.- Observado, 4.- Sin Respaldo, 5.- No Aceptado"</formula1>
    </dataValidation>
    <dataValidation type="list" allowBlank="1" showInputMessage="1" showErrorMessage="1" sqref="K2:K22" xr:uid="{1F6B15F4-0700-4062-8334-C88D68BED22F}">
      <formula1>"1.- Contado, 2.- Transferencia Bancaria, 3.- Cartola bancaria, 4.- Credito hipotecario, 5.- Otros"</formula1>
    </dataValidation>
  </dataValidation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FDEF1-1B36-4F79-8D3B-CC3E1D335526}">
  <sheetPr filterMode="1">
    <tabColor theme="9"/>
  </sheetPr>
  <dimension ref="B2:O25"/>
  <sheetViews>
    <sheetView tabSelected="1" zoomScale="80" zoomScaleNormal="80" workbookViewId="0">
      <selection activeCell="C5" sqref="C5"/>
    </sheetView>
  </sheetViews>
  <sheetFormatPr defaultRowHeight="15" x14ac:dyDescent="0.25"/>
  <cols>
    <col min="2" max="2" width="8" bestFit="1" customWidth="1"/>
    <col min="3" max="3" width="10.85546875" bestFit="1" customWidth="1"/>
    <col min="4" max="4" width="7.7109375" bestFit="1" customWidth="1"/>
    <col min="5" max="5" width="33.42578125" bestFit="1" customWidth="1"/>
    <col min="6" max="6" width="10.7109375" bestFit="1" customWidth="1"/>
    <col min="7" max="7" width="36.85546875" bestFit="1" customWidth="1"/>
    <col min="8" max="8" width="10.5703125" bestFit="1" customWidth="1"/>
    <col min="9" max="9" width="11.5703125" bestFit="1" customWidth="1"/>
    <col min="10" max="10" width="10.140625" customWidth="1"/>
    <col min="11" max="11" width="10.5703125" bestFit="1" customWidth="1"/>
    <col min="12" max="14" width="11.42578125" customWidth="1"/>
  </cols>
  <sheetData>
    <row r="2" spans="2:15" ht="25.5" x14ac:dyDescent="0.25">
      <c r="B2" s="49" t="s">
        <v>86</v>
      </c>
      <c r="C2" s="49" t="s">
        <v>15</v>
      </c>
      <c r="D2" s="49" t="s">
        <v>611</v>
      </c>
      <c r="E2" s="49" t="s">
        <v>612</v>
      </c>
      <c r="F2" s="49" t="s">
        <v>249</v>
      </c>
      <c r="G2" s="49" t="s">
        <v>613</v>
      </c>
      <c r="H2" s="49" t="s">
        <v>614</v>
      </c>
      <c r="I2" s="49" t="s">
        <v>615</v>
      </c>
      <c r="J2" s="49" t="s">
        <v>616</v>
      </c>
      <c r="K2" s="49" t="s">
        <v>617</v>
      </c>
      <c r="L2" s="37" t="s">
        <v>386</v>
      </c>
      <c r="M2" s="37" t="s">
        <v>678</v>
      </c>
      <c r="N2" s="37" t="s">
        <v>679</v>
      </c>
      <c r="O2" s="37" t="s">
        <v>394</v>
      </c>
    </row>
    <row r="3" spans="2:15" hidden="1" x14ac:dyDescent="0.25">
      <c r="B3" s="50">
        <v>44197</v>
      </c>
      <c r="C3" s="51">
        <v>44208</v>
      </c>
      <c r="D3" s="52">
        <v>153</v>
      </c>
      <c r="E3" s="70" t="s">
        <v>381</v>
      </c>
      <c r="F3" s="53" t="s">
        <v>380</v>
      </c>
      <c r="G3" s="52" t="s">
        <v>618</v>
      </c>
      <c r="H3" s="54">
        <v>538184</v>
      </c>
      <c r="I3" s="54">
        <v>61891</v>
      </c>
      <c r="J3" s="54">
        <v>0</v>
      </c>
      <c r="K3" s="61">
        <v>476293</v>
      </c>
      <c r="L3" s="55" t="s">
        <v>619</v>
      </c>
      <c r="M3" s="55" t="s">
        <v>686</v>
      </c>
      <c r="N3" s="55" t="s">
        <v>378</v>
      </c>
      <c r="O3" t="s">
        <v>574</v>
      </c>
    </row>
    <row r="4" spans="2:15" x14ac:dyDescent="0.25">
      <c r="B4" s="50">
        <v>44228</v>
      </c>
      <c r="C4" s="51">
        <v>44249</v>
      </c>
      <c r="D4" s="52">
        <v>49</v>
      </c>
      <c r="E4" s="70" t="s">
        <v>620</v>
      </c>
      <c r="F4" s="53" t="s">
        <v>621</v>
      </c>
      <c r="G4" s="52" t="s">
        <v>622</v>
      </c>
      <c r="H4" s="54">
        <v>180791</v>
      </c>
      <c r="I4" s="54">
        <v>20791</v>
      </c>
      <c r="J4" s="54">
        <v>0</v>
      </c>
      <c r="K4" s="54">
        <v>160000</v>
      </c>
      <c r="L4" s="55" t="s">
        <v>623</v>
      </c>
      <c r="M4" s="55" t="s">
        <v>682</v>
      </c>
      <c r="N4" s="55" t="s">
        <v>378</v>
      </c>
      <c r="O4" t="s">
        <v>576</v>
      </c>
    </row>
    <row r="5" spans="2:15" x14ac:dyDescent="0.25">
      <c r="B5" s="50">
        <v>44256</v>
      </c>
      <c r="C5" s="51">
        <v>44265</v>
      </c>
      <c r="D5" s="52">
        <v>428414</v>
      </c>
      <c r="E5" s="70" t="s">
        <v>624</v>
      </c>
      <c r="F5" s="53" t="s">
        <v>625</v>
      </c>
      <c r="G5" s="52" t="s">
        <v>626</v>
      </c>
      <c r="H5" s="54">
        <v>16000</v>
      </c>
      <c r="I5" s="54">
        <v>0</v>
      </c>
      <c r="J5" s="54">
        <v>0</v>
      </c>
      <c r="K5" s="54">
        <v>16000</v>
      </c>
      <c r="L5" s="55" t="s">
        <v>627</v>
      </c>
      <c r="M5" s="55" t="s">
        <v>683</v>
      </c>
      <c r="N5" s="55" t="s">
        <v>680</v>
      </c>
      <c r="O5" t="s">
        <v>576</v>
      </c>
    </row>
    <row r="6" spans="2:15" hidden="1" x14ac:dyDescent="0.25">
      <c r="B6" s="50">
        <v>44409</v>
      </c>
      <c r="C6" s="51">
        <v>44437</v>
      </c>
      <c r="D6" s="52">
        <v>97</v>
      </c>
      <c r="E6" s="70" t="s">
        <v>628</v>
      </c>
      <c r="F6" s="53" t="s">
        <v>629</v>
      </c>
      <c r="G6" s="52" t="s">
        <v>630</v>
      </c>
      <c r="H6" s="54">
        <v>1694915</v>
      </c>
      <c r="I6" s="54">
        <v>194915</v>
      </c>
      <c r="J6" s="54">
        <v>0</v>
      </c>
      <c r="K6" s="54">
        <v>1500000</v>
      </c>
      <c r="L6" s="55" t="s">
        <v>631</v>
      </c>
      <c r="M6" s="55" t="s">
        <v>684</v>
      </c>
      <c r="N6" s="55" t="s">
        <v>685</v>
      </c>
      <c r="O6" t="s">
        <v>707</v>
      </c>
    </row>
    <row r="7" spans="2:15" hidden="1" x14ac:dyDescent="0.25">
      <c r="B7" s="50">
        <v>44409</v>
      </c>
      <c r="C7" s="51">
        <v>44419</v>
      </c>
      <c r="D7" s="52">
        <v>6344</v>
      </c>
      <c r="E7" s="70" t="s">
        <v>421</v>
      </c>
      <c r="F7" s="53" t="s">
        <v>325</v>
      </c>
      <c r="G7" s="52" t="s">
        <v>632</v>
      </c>
      <c r="H7" s="54">
        <v>30000</v>
      </c>
      <c r="I7" s="54">
        <v>0</v>
      </c>
      <c r="J7" s="54">
        <v>0</v>
      </c>
      <c r="K7" s="61">
        <v>30000</v>
      </c>
      <c r="L7" s="55" t="s">
        <v>633</v>
      </c>
      <c r="M7" s="55" t="s">
        <v>681</v>
      </c>
      <c r="N7" s="55" t="s">
        <v>680</v>
      </c>
      <c r="O7" t="s">
        <v>590</v>
      </c>
    </row>
    <row r="8" spans="2:15" hidden="1" x14ac:dyDescent="0.25">
      <c r="B8" s="50">
        <v>44409</v>
      </c>
      <c r="C8" s="51">
        <v>44420</v>
      </c>
      <c r="D8" s="52">
        <v>6748</v>
      </c>
      <c r="E8" s="70" t="s">
        <v>421</v>
      </c>
      <c r="F8" s="53" t="s">
        <v>325</v>
      </c>
      <c r="G8" s="52" t="s">
        <v>632</v>
      </c>
      <c r="H8" s="54">
        <v>65000</v>
      </c>
      <c r="I8" s="54">
        <v>0</v>
      </c>
      <c r="J8" s="54">
        <v>0</v>
      </c>
      <c r="K8" s="61">
        <v>65000</v>
      </c>
      <c r="L8" s="55" t="s">
        <v>634</v>
      </c>
      <c r="M8" s="55" t="s">
        <v>681</v>
      </c>
      <c r="N8" s="55" t="s">
        <v>680</v>
      </c>
      <c r="O8" t="s">
        <v>590</v>
      </c>
    </row>
    <row r="9" spans="2:15" hidden="1" x14ac:dyDescent="0.25">
      <c r="B9" s="50">
        <v>44440</v>
      </c>
      <c r="C9" s="51">
        <v>44453</v>
      </c>
      <c r="D9" s="52">
        <v>11917</v>
      </c>
      <c r="E9" s="70" t="s">
        <v>421</v>
      </c>
      <c r="F9" s="53" t="s">
        <v>325</v>
      </c>
      <c r="G9" s="52" t="s">
        <v>632</v>
      </c>
      <c r="H9" s="54">
        <v>30000</v>
      </c>
      <c r="I9" s="54">
        <v>0</v>
      </c>
      <c r="J9" s="54">
        <v>0</v>
      </c>
      <c r="K9" s="61">
        <v>30000</v>
      </c>
      <c r="L9" s="55" t="s">
        <v>635</v>
      </c>
      <c r="M9" s="55" t="s">
        <v>681</v>
      </c>
      <c r="N9" s="55" t="s">
        <v>680</v>
      </c>
      <c r="O9" t="s">
        <v>590</v>
      </c>
    </row>
    <row r="10" spans="2:15" hidden="1" x14ac:dyDescent="0.25">
      <c r="B10" s="50">
        <v>44440</v>
      </c>
      <c r="C10" s="51">
        <v>44466</v>
      </c>
      <c r="D10" s="52">
        <v>99</v>
      </c>
      <c r="E10" s="70" t="s">
        <v>628</v>
      </c>
      <c r="F10" s="53" t="s">
        <v>629</v>
      </c>
      <c r="G10" s="52" t="s">
        <v>630</v>
      </c>
      <c r="H10" s="54">
        <v>1694915</v>
      </c>
      <c r="I10" s="54">
        <v>194915.22500000001</v>
      </c>
      <c r="J10" s="54">
        <v>50847.45</v>
      </c>
      <c r="K10" s="54">
        <v>1449152</v>
      </c>
      <c r="L10" s="55" t="s">
        <v>636</v>
      </c>
      <c r="M10" s="55" t="s">
        <v>684</v>
      </c>
      <c r="N10" s="55" t="s">
        <v>685</v>
      </c>
      <c r="O10" t="s">
        <v>707</v>
      </c>
    </row>
    <row r="11" spans="2:15" hidden="1" x14ac:dyDescent="0.25">
      <c r="B11" s="50">
        <v>44440</v>
      </c>
      <c r="C11" s="51">
        <v>44466</v>
      </c>
      <c r="D11" s="52">
        <v>100</v>
      </c>
      <c r="E11" s="70" t="s">
        <v>628</v>
      </c>
      <c r="F11" s="53" t="s">
        <v>629</v>
      </c>
      <c r="G11" s="52" t="s">
        <v>630</v>
      </c>
      <c r="H11" s="54">
        <v>1800000</v>
      </c>
      <c r="I11" s="54">
        <f>+H11*11.5%</f>
        <v>207000</v>
      </c>
      <c r="J11" s="54">
        <f>+H11*3%</f>
        <v>54000</v>
      </c>
      <c r="K11" s="54">
        <v>1539000</v>
      </c>
      <c r="L11" s="55" t="s">
        <v>637</v>
      </c>
      <c r="M11" s="55" t="s">
        <v>684</v>
      </c>
      <c r="N11" s="55" t="s">
        <v>685</v>
      </c>
      <c r="O11" t="s">
        <v>707</v>
      </c>
    </row>
    <row r="12" spans="2:15" hidden="1" x14ac:dyDescent="0.25">
      <c r="B12" s="50">
        <v>44501</v>
      </c>
      <c r="C12" s="51">
        <v>44505</v>
      </c>
      <c r="D12" s="52">
        <v>19439</v>
      </c>
      <c r="E12" s="70" t="s">
        <v>421</v>
      </c>
      <c r="F12" s="53" t="s">
        <v>325</v>
      </c>
      <c r="G12" s="52" t="s">
        <v>632</v>
      </c>
      <c r="H12" s="56">
        <v>20000</v>
      </c>
      <c r="I12" s="54">
        <v>0</v>
      </c>
      <c r="J12" s="54">
        <v>0</v>
      </c>
      <c r="K12" s="62">
        <v>20000</v>
      </c>
      <c r="L12" s="55" t="s">
        <v>638</v>
      </c>
      <c r="M12" s="55" t="s">
        <v>681</v>
      </c>
      <c r="N12" s="55" t="s">
        <v>680</v>
      </c>
      <c r="O12" s="60" t="s">
        <v>590</v>
      </c>
    </row>
    <row r="13" spans="2:15" hidden="1" x14ac:dyDescent="0.25">
      <c r="B13" s="50">
        <v>44501</v>
      </c>
      <c r="C13" s="51">
        <v>44505</v>
      </c>
      <c r="D13" s="52">
        <v>19440</v>
      </c>
      <c r="E13" s="70" t="s">
        <v>421</v>
      </c>
      <c r="F13" s="53" t="s">
        <v>325</v>
      </c>
      <c r="G13" s="52" t="s">
        <v>632</v>
      </c>
      <c r="H13" s="56">
        <v>45000</v>
      </c>
      <c r="I13" s="54">
        <v>0</v>
      </c>
      <c r="J13" s="54">
        <v>0</v>
      </c>
      <c r="K13" s="62">
        <v>45000</v>
      </c>
      <c r="L13" s="55" t="s">
        <v>639</v>
      </c>
      <c r="M13" s="55" t="s">
        <v>681</v>
      </c>
      <c r="N13" s="55" t="s">
        <v>680</v>
      </c>
      <c r="O13" s="60" t="s">
        <v>590</v>
      </c>
    </row>
    <row r="14" spans="2:15" hidden="1" x14ac:dyDescent="0.25">
      <c r="B14" s="50">
        <v>44501</v>
      </c>
      <c r="C14" s="51">
        <v>44505</v>
      </c>
      <c r="D14" s="52">
        <v>19448</v>
      </c>
      <c r="E14" s="70" t="s">
        <v>421</v>
      </c>
      <c r="F14" s="53" t="s">
        <v>325</v>
      </c>
      <c r="G14" s="52" t="s">
        <v>632</v>
      </c>
      <c r="H14" s="56">
        <v>120000</v>
      </c>
      <c r="I14" s="54">
        <v>0</v>
      </c>
      <c r="J14" s="54">
        <v>0</v>
      </c>
      <c r="K14" s="62">
        <v>120000</v>
      </c>
      <c r="L14" s="55" t="s">
        <v>640</v>
      </c>
      <c r="M14" s="55" t="s">
        <v>681</v>
      </c>
      <c r="N14" s="55" t="s">
        <v>680</v>
      </c>
      <c r="O14" t="s">
        <v>590</v>
      </c>
    </row>
    <row r="15" spans="2:15" hidden="1" x14ac:dyDescent="0.25">
      <c r="B15" s="50">
        <v>44501</v>
      </c>
      <c r="C15" s="51">
        <v>44525</v>
      </c>
      <c r="D15" s="52">
        <v>22475</v>
      </c>
      <c r="E15" s="70" t="s">
        <v>421</v>
      </c>
      <c r="F15" s="53" t="s">
        <v>325</v>
      </c>
      <c r="G15" s="52" t="s">
        <v>632</v>
      </c>
      <c r="H15" s="56">
        <v>20000</v>
      </c>
      <c r="I15" s="54">
        <v>0</v>
      </c>
      <c r="J15" s="54">
        <v>0</v>
      </c>
      <c r="K15" s="62">
        <v>20000</v>
      </c>
      <c r="L15" s="55" t="s">
        <v>641</v>
      </c>
      <c r="M15" s="55" t="s">
        <v>681</v>
      </c>
      <c r="N15" s="55" t="s">
        <v>680</v>
      </c>
      <c r="O15" s="60" t="s">
        <v>590</v>
      </c>
    </row>
    <row r="16" spans="2:15" hidden="1" x14ac:dyDescent="0.25">
      <c r="B16" s="50">
        <v>44501</v>
      </c>
      <c r="C16" s="51">
        <v>44525</v>
      </c>
      <c r="D16" s="52">
        <v>22476</v>
      </c>
      <c r="E16" s="70" t="s">
        <v>421</v>
      </c>
      <c r="F16" s="53" t="s">
        <v>325</v>
      </c>
      <c r="G16" s="52" t="s">
        <v>632</v>
      </c>
      <c r="H16" s="56">
        <v>45000</v>
      </c>
      <c r="I16" s="54">
        <v>0</v>
      </c>
      <c r="J16" s="54">
        <v>0</v>
      </c>
      <c r="K16" s="62">
        <v>45000</v>
      </c>
      <c r="L16" s="55" t="s">
        <v>642</v>
      </c>
      <c r="M16" s="55" t="s">
        <v>681</v>
      </c>
      <c r="N16" s="55" t="s">
        <v>680</v>
      </c>
      <c r="O16" s="60" t="s">
        <v>590</v>
      </c>
    </row>
    <row r="17" spans="2:15" hidden="1" x14ac:dyDescent="0.25">
      <c r="B17" s="50">
        <v>44531</v>
      </c>
      <c r="C17" s="51">
        <v>44533</v>
      </c>
      <c r="D17" s="52">
        <v>23837</v>
      </c>
      <c r="E17" s="70" t="s">
        <v>421</v>
      </c>
      <c r="F17" s="53" t="s">
        <v>325</v>
      </c>
      <c r="G17" s="52" t="s">
        <v>632</v>
      </c>
      <c r="H17" s="56">
        <v>34000</v>
      </c>
      <c r="I17" s="54">
        <v>0</v>
      </c>
      <c r="J17" s="54">
        <v>0</v>
      </c>
      <c r="K17" s="62">
        <v>34000</v>
      </c>
      <c r="L17" s="55" t="s">
        <v>643</v>
      </c>
      <c r="M17" s="55" t="s">
        <v>681</v>
      </c>
      <c r="N17" s="55" t="s">
        <v>680</v>
      </c>
      <c r="O17" t="s">
        <v>590</v>
      </c>
    </row>
    <row r="18" spans="2:15" hidden="1" x14ac:dyDescent="0.25">
      <c r="B18" s="50">
        <v>44531</v>
      </c>
      <c r="C18" s="51">
        <v>44552</v>
      </c>
      <c r="D18" s="52">
        <v>26169</v>
      </c>
      <c r="E18" s="70" t="s">
        <v>421</v>
      </c>
      <c r="F18" s="53" t="s">
        <v>325</v>
      </c>
      <c r="G18" s="52" t="s">
        <v>632</v>
      </c>
      <c r="H18" s="56">
        <v>20000</v>
      </c>
      <c r="I18" s="54">
        <v>0</v>
      </c>
      <c r="J18" s="54">
        <v>0</v>
      </c>
      <c r="K18" s="62">
        <v>20000</v>
      </c>
      <c r="L18" s="55" t="s">
        <v>644</v>
      </c>
      <c r="M18" s="55" t="s">
        <v>681</v>
      </c>
      <c r="N18" s="55" t="s">
        <v>680</v>
      </c>
      <c r="O18" t="s">
        <v>590</v>
      </c>
    </row>
    <row r="19" spans="2:15" hidden="1" x14ac:dyDescent="0.25">
      <c r="B19" s="50">
        <v>44531</v>
      </c>
      <c r="C19" s="51">
        <v>44552</v>
      </c>
      <c r="D19" s="52">
        <v>26172</v>
      </c>
      <c r="E19" s="70" t="s">
        <v>421</v>
      </c>
      <c r="F19" s="53" t="s">
        <v>325</v>
      </c>
      <c r="G19" s="52" t="s">
        <v>632</v>
      </c>
      <c r="H19" s="56">
        <v>50000</v>
      </c>
      <c r="I19" s="54">
        <v>0</v>
      </c>
      <c r="J19" s="54">
        <v>0</v>
      </c>
      <c r="K19" s="62">
        <v>50000</v>
      </c>
      <c r="L19" s="55" t="s">
        <v>645</v>
      </c>
      <c r="M19" s="55" t="s">
        <v>681</v>
      </c>
      <c r="N19" s="55" t="s">
        <v>680</v>
      </c>
      <c r="O19" t="s">
        <v>590</v>
      </c>
    </row>
    <row r="20" spans="2:15" x14ac:dyDescent="0.25">
      <c r="B20" s="52"/>
      <c r="C20" s="52"/>
      <c r="D20" s="52"/>
      <c r="E20" s="52"/>
      <c r="F20" s="52"/>
      <c r="G20" s="52"/>
      <c r="H20" s="52"/>
      <c r="I20" s="52"/>
      <c r="J20" s="52"/>
      <c r="K20" s="52"/>
    </row>
    <row r="21" spans="2:15" x14ac:dyDescent="0.25">
      <c r="B21" s="52"/>
      <c r="C21" s="52"/>
      <c r="D21" s="52"/>
      <c r="E21" s="52"/>
      <c r="F21" s="52"/>
      <c r="G21" s="52" t="s">
        <v>646</v>
      </c>
      <c r="H21" s="57">
        <f>+SUM(H3:H20)</f>
        <v>6403805</v>
      </c>
      <c r="I21" s="57">
        <f>+SUM(I3:I20)</f>
        <v>679512.22499999998</v>
      </c>
      <c r="J21" s="57">
        <f>+SUM(J3:J20)</f>
        <v>104847.45</v>
      </c>
      <c r="K21" s="57">
        <f>+SUM(K3:K20)</f>
        <v>5619445</v>
      </c>
    </row>
    <row r="22" spans="2:15" x14ac:dyDescent="0.25">
      <c r="H22" s="10"/>
      <c r="K22" s="10"/>
    </row>
    <row r="23" spans="2:15" x14ac:dyDescent="0.25">
      <c r="H23" s="10"/>
      <c r="K23" s="10"/>
    </row>
    <row r="24" spans="2:15" x14ac:dyDescent="0.25">
      <c r="K24" s="74"/>
    </row>
    <row r="25" spans="2:15" x14ac:dyDescent="0.25">
      <c r="K25" s="74"/>
    </row>
  </sheetData>
  <autoFilter ref="B2:O21" xr:uid="{EF5FDEF1-1B36-4F79-8D3B-CC3E1D335526}">
    <filterColumn colId="13">
      <filters blank="1">
        <filter val="Sin Cartola"/>
      </filters>
    </filterColumn>
  </autoFilter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FECAC-0688-4794-85B7-7D549926C05B}">
  <sheetPr filterMode="1">
    <tabColor theme="9"/>
  </sheetPr>
  <dimension ref="A2:W58"/>
  <sheetViews>
    <sheetView topLeftCell="C2" zoomScale="80" zoomScaleNormal="80" workbookViewId="0">
      <selection activeCell="N4" sqref="N4:N31"/>
    </sheetView>
  </sheetViews>
  <sheetFormatPr defaultRowHeight="15" x14ac:dyDescent="0.25"/>
  <cols>
    <col min="2" max="2" width="5" bestFit="1" customWidth="1"/>
    <col min="3" max="3" width="7.7109375" bestFit="1" customWidth="1"/>
    <col min="4" max="4" width="20.7109375" bestFit="1" customWidth="1"/>
    <col min="5" max="5" width="11.5703125" bestFit="1" customWidth="1"/>
    <col min="6" max="6" width="46.42578125" customWidth="1"/>
    <col min="7" max="7" width="12.140625" bestFit="1" customWidth="1"/>
    <col min="8" max="8" width="14.140625" bestFit="1" customWidth="1"/>
    <col min="9" max="14" width="15.7109375" customWidth="1"/>
    <col min="15" max="16" width="9.5703125" customWidth="1"/>
    <col min="18" max="18" width="14.140625" bestFit="1" customWidth="1"/>
    <col min="19" max="23" width="15.5703125" customWidth="1"/>
  </cols>
  <sheetData>
    <row r="2" spans="1:23" ht="45" x14ac:dyDescent="0.25">
      <c r="A2" s="37" t="s">
        <v>86</v>
      </c>
      <c r="B2" s="37" t="s">
        <v>554</v>
      </c>
      <c r="C2" s="37" t="s">
        <v>555</v>
      </c>
      <c r="D2" s="37" t="s">
        <v>556</v>
      </c>
      <c r="E2" s="37" t="s">
        <v>557</v>
      </c>
      <c r="F2" s="37" t="s">
        <v>558</v>
      </c>
      <c r="G2" s="37" t="s">
        <v>559</v>
      </c>
      <c r="H2" s="37" t="s">
        <v>560</v>
      </c>
      <c r="I2" s="37" t="s">
        <v>561</v>
      </c>
      <c r="J2" s="37" t="s">
        <v>562</v>
      </c>
      <c r="K2" s="37" t="s">
        <v>563</v>
      </c>
      <c r="L2" s="37" t="s">
        <v>564</v>
      </c>
      <c r="M2" s="37" t="s">
        <v>565</v>
      </c>
      <c r="N2" s="37" t="s">
        <v>566</v>
      </c>
      <c r="O2" s="37" t="s">
        <v>386</v>
      </c>
      <c r="P2" s="37" t="s">
        <v>394</v>
      </c>
      <c r="R2" t="s">
        <v>567</v>
      </c>
      <c r="S2" s="43" t="s">
        <v>568</v>
      </c>
      <c r="T2" s="43" t="s">
        <v>569</v>
      </c>
      <c r="U2" s="43" t="s">
        <v>570</v>
      </c>
      <c r="V2" s="43" t="s">
        <v>571</v>
      </c>
      <c r="W2" s="43" t="s">
        <v>572</v>
      </c>
    </row>
    <row r="3" spans="1:23" hidden="1" x14ac:dyDescent="0.25">
      <c r="A3" s="44">
        <v>44197</v>
      </c>
      <c r="B3" s="12">
        <v>1</v>
      </c>
      <c r="C3" s="12">
        <v>33</v>
      </c>
      <c r="D3" s="12" t="s">
        <v>573</v>
      </c>
      <c r="E3" s="12" t="s">
        <v>332</v>
      </c>
      <c r="F3" s="12" t="s">
        <v>331</v>
      </c>
      <c r="G3" s="12">
        <v>20</v>
      </c>
      <c r="H3" s="45">
        <v>44218</v>
      </c>
      <c r="I3" s="13">
        <v>0</v>
      </c>
      <c r="J3" s="13">
        <v>33614</v>
      </c>
      <c r="K3" s="13">
        <v>0</v>
      </c>
      <c r="L3" s="13">
        <v>6387</v>
      </c>
      <c r="M3" s="13">
        <v>9</v>
      </c>
      <c r="N3" s="20">
        <v>40001</v>
      </c>
      <c r="O3" s="46"/>
      <c r="P3" t="s">
        <v>574</v>
      </c>
      <c r="R3" s="47" t="s">
        <v>575</v>
      </c>
      <c r="S3" s="10">
        <v>29070</v>
      </c>
      <c r="T3" s="10">
        <v>67228</v>
      </c>
      <c r="U3" s="10">
        <v>0</v>
      </c>
      <c r="V3" s="10">
        <v>12774</v>
      </c>
      <c r="W3" s="10">
        <v>109072</v>
      </c>
    </row>
    <row r="4" spans="1:23" x14ac:dyDescent="0.25">
      <c r="A4" s="44">
        <v>44197</v>
      </c>
      <c r="B4" s="12">
        <v>2</v>
      </c>
      <c r="C4" s="12">
        <v>33</v>
      </c>
      <c r="D4" s="12" t="s">
        <v>573</v>
      </c>
      <c r="E4" s="12" t="s">
        <v>332</v>
      </c>
      <c r="F4" s="12" t="s">
        <v>331</v>
      </c>
      <c r="G4" s="12">
        <v>21</v>
      </c>
      <c r="H4" s="45">
        <v>44218</v>
      </c>
      <c r="I4" s="13">
        <v>0</v>
      </c>
      <c r="J4" s="13">
        <v>33614</v>
      </c>
      <c r="K4" s="13">
        <v>0</v>
      </c>
      <c r="L4" s="13">
        <v>6387</v>
      </c>
      <c r="M4" s="13">
        <v>9</v>
      </c>
      <c r="N4" s="13">
        <v>40001</v>
      </c>
      <c r="O4" s="46"/>
      <c r="P4" t="s">
        <v>576</v>
      </c>
      <c r="R4" s="47" t="s">
        <v>577</v>
      </c>
      <c r="S4" s="10">
        <v>29149</v>
      </c>
      <c r="T4" s="10">
        <v>9237</v>
      </c>
      <c r="U4" s="10">
        <v>1755</v>
      </c>
      <c r="V4" s="10">
        <v>0</v>
      </c>
      <c r="W4" s="10">
        <v>40141</v>
      </c>
    </row>
    <row r="5" spans="1:23" x14ac:dyDescent="0.25">
      <c r="A5" s="44">
        <v>44197</v>
      </c>
      <c r="B5" s="12">
        <v>3</v>
      </c>
      <c r="C5" s="12">
        <v>34</v>
      </c>
      <c r="D5" s="12" t="s">
        <v>578</v>
      </c>
      <c r="E5" s="12" t="s">
        <v>579</v>
      </c>
      <c r="F5" s="12" t="s">
        <v>580</v>
      </c>
      <c r="G5" s="12">
        <v>386</v>
      </c>
      <c r="H5" s="45">
        <v>44202</v>
      </c>
      <c r="I5" s="13">
        <v>29070</v>
      </c>
      <c r="J5" s="13">
        <v>0</v>
      </c>
      <c r="K5" s="13">
        <v>0</v>
      </c>
      <c r="L5" s="13">
        <v>0</v>
      </c>
      <c r="M5" s="13">
        <v>0</v>
      </c>
      <c r="N5" s="13">
        <v>29070</v>
      </c>
      <c r="O5" s="46"/>
      <c r="P5" t="s">
        <v>576</v>
      </c>
      <c r="R5" s="47" t="s">
        <v>581</v>
      </c>
      <c r="S5" s="10">
        <v>1279287</v>
      </c>
      <c r="T5" s="10">
        <v>0</v>
      </c>
      <c r="U5" s="10">
        <v>0</v>
      </c>
      <c r="V5" s="10">
        <v>0</v>
      </c>
      <c r="W5" s="10">
        <v>1279287</v>
      </c>
    </row>
    <row r="6" spans="1:23" hidden="1" x14ac:dyDescent="0.25">
      <c r="A6" s="44">
        <v>44228</v>
      </c>
      <c r="B6" s="12">
        <v>1</v>
      </c>
      <c r="C6" s="12">
        <v>33</v>
      </c>
      <c r="D6" s="12" t="s">
        <v>578</v>
      </c>
      <c r="E6" s="12" t="s">
        <v>582</v>
      </c>
      <c r="F6" s="12" t="s">
        <v>583</v>
      </c>
      <c r="G6" s="12">
        <v>65476</v>
      </c>
      <c r="H6" s="45">
        <v>44235</v>
      </c>
      <c r="I6" s="13">
        <v>0</v>
      </c>
      <c r="J6" s="13">
        <v>4941</v>
      </c>
      <c r="K6" s="13">
        <v>939</v>
      </c>
      <c r="L6" s="13">
        <v>0</v>
      </c>
      <c r="M6" s="13">
        <v>0</v>
      </c>
      <c r="N6" s="20">
        <v>5880</v>
      </c>
      <c r="O6" s="46"/>
      <c r="P6" t="s">
        <v>574</v>
      </c>
      <c r="R6" s="47" t="s">
        <v>584</v>
      </c>
      <c r="S6" s="10">
        <v>88506</v>
      </c>
      <c r="T6" s="10">
        <v>138445</v>
      </c>
      <c r="U6" s="10">
        <v>0</v>
      </c>
      <c r="V6" s="10">
        <v>26305</v>
      </c>
      <c r="W6" s="10">
        <v>253256</v>
      </c>
    </row>
    <row r="7" spans="1:23" x14ac:dyDescent="0.25">
      <c r="A7" s="44">
        <v>44228</v>
      </c>
      <c r="B7" s="12">
        <v>2</v>
      </c>
      <c r="C7" s="12">
        <v>33</v>
      </c>
      <c r="D7" s="12" t="s">
        <v>578</v>
      </c>
      <c r="E7" s="12" t="s">
        <v>582</v>
      </c>
      <c r="F7" s="12" t="s">
        <v>583</v>
      </c>
      <c r="G7" s="12">
        <v>65607</v>
      </c>
      <c r="H7" s="45">
        <v>44246</v>
      </c>
      <c r="I7" s="13">
        <v>0</v>
      </c>
      <c r="J7" s="13">
        <v>4296</v>
      </c>
      <c r="K7" s="13">
        <v>816</v>
      </c>
      <c r="L7" s="13">
        <v>0</v>
      </c>
      <c r="M7" s="13">
        <v>0</v>
      </c>
      <c r="N7" s="13">
        <v>5112</v>
      </c>
      <c r="O7" s="46" t="s">
        <v>585</v>
      </c>
      <c r="P7" t="s">
        <v>576</v>
      </c>
      <c r="R7" s="47" t="s">
        <v>586</v>
      </c>
      <c r="S7" s="10">
        <v>208418</v>
      </c>
      <c r="T7" s="10">
        <v>933489</v>
      </c>
      <c r="U7" s="10">
        <v>0</v>
      </c>
      <c r="V7" s="10">
        <v>177362</v>
      </c>
      <c r="W7" s="10">
        <v>1319269</v>
      </c>
    </row>
    <row r="8" spans="1:23" x14ac:dyDescent="0.25">
      <c r="A8" s="44">
        <v>44228</v>
      </c>
      <c r="B8" s="12">
        <v>3</v>
      </c>
      <c r="C8" s="12">
        <v>34</v>
      </c>
      <c r="D8" s="12" t="s">
        <v>578</v>
      </c>
      <c r="E8" s="12" t="s">
        <v>579</v>
      </c>
      <c r="F8" s="12" t="s">
        <v>580</v>
      </c>
      <c r="G8" s="12">
        <v>400</v>
      </c>
      <c r="H8" s="45">
        <v>44239</v>
      </c>
      <c r="I8" s="13">
        <v>29149</v>
      </c>
      <c r="J8" s="13">
        <v>0</v>
      </c>
      <c r="K8" s="13">
        <v>0</v>
      </c>
      <c r="L8" s="13">
        <v>0</v>
      </c>
      <c r="M8" s="13">
        <v>0</v>
      </c>
      <c r="N8" s="13">
        <v>29149</v>
      </c>
      <c r="O8" s="46"/>
      <c r="P8" t="s">
        <v>576</v>
      </c>
      <c r="R8" s="47" t="s">
        <v>587</v>
      </c>
      <c r="S8" s="10">
        <v>0</v>
      </c>
      <c r="T8" s="10">
        <v>3531789</v>
      </c>
      <c r="U8" s="10">
        <v>0</v>
      </c>
      <c r="V8" s="10">
        <v>671040</v>
      </c>
      <c r="W8" s="10">
        <v>4202829</v>
      </c>
    </row>
    <row r="9" spans="1:23" x14ac:dyDescent="0.25">
      <c r="A9" s="44">
        <v>44256</v>
      </c>
      <c r="B9" s="12">
        <v>1</v>
      </c>
      <c r="C9" s="12">
        <v>34</v>
      </c>
      <c r="D9" s="12" t="s">
        <v>578</v>
      </c>
      <c r="E9" s="12" t="s">
        <v>579</v>
      </c>
      <c r="F9" s="12" t="s">
        <v>580</v>
      </c>
      <c r="G9" s="12">
        <v>408</v>
      </c>
      <c r="H9" s="45">
        <v>44262</v>
      </c>
      <c r="I9" s="13">
        <v>29287</v>
      </c>
      <c r="J9" s="13">
        <v>0</v>
      </c>
      <c r="K9" s="13">
        <v>0</v>
      </c>
      <c r="L9" s="13">
        <v>0</v>
      </c>
      <c r="M9" s="13">
        <v>0</v>
      </c>
      <c r="N9" s="13">
        <v>29287</v>
      </c>
      <c r="O9" s="46"/>
      <c r="P9" t="s">
        <v>576</v>
      </c>
      <c r="R9" s="47" t="s">
        <v>588</v>
      </c>
      <c r="S9" s="10">
        <v>0</v>
      </c>
      <c r="T9" s="10">
        <v>5045835</v>
      </c>
      <c r="U9" s="10">
        <v>0</v>
      </c>
      <c r="V9" s="10">
        <v>958710</v>
      </c>
      <c r="W9" s="10">
        <v>6004545</v>
      </c>
    </row>
    <row r="10" spans="1:23" hidden="1" x14ac:dyDescent="0.25">
      <c r="A10" s="44">
        <v>44256</v>
      </c>
      <c r="B10" s="12">
        <v>2</v>
      </c>
      <c r="C10" s="12">
        <v>34</v>
      </c>
      <c r="D10" s="12" t="s">
        <v>578</v>
      </c>
      <c r="E10" s="12" t="s">
        <v>376</v>
      </c>
      <c r="F10" s="12" t="s">
        <v>377</v>
      </c>
      <c r="G10" s="12">
        <v>1261</v>
      </c>
      <c r="H10" s="45">
        <v>44273</v>
      </c>
      <c r="I10" s="13">
        <v>1250000</v>
      </c>
      <c r="J10" s="13">
        <v>0</v>
      </c>
      <c r="K10" s="13">
        <v>0</v>
      </c>
      <c r="L10" s="13">
        <v>0</v>
      </c>
      <c r="M10" s="13">
        <v>0</v>
      </c>
      <c r="N10" s="20">
        <v>1250000</v>
      </c>
      <c r="O10" s="46"/>
      <c r="P10" s="60" t="s">
        <v>574</v>
      </c>
      <c r="R10" s="47" t="s">
        <v>589</v>
      </c>
      <c r="S10" s="10">
        <v>0</v>
      </c>
      <c r="T10" s="10">
        <v>4147502</v>
      </c>
      <c r="U10" s="10">
        <v>0</v>
      </c>
      <c r="V10" s="10">
        <v>788026</v>
      </c>
      <c r="W10" s="10">
        <v>4935528</v>
      </c>
    </row>
    <row r="11" spans="1:23" hidden="1" x14ac:dyDescent="0.25">
      <c r="A11" s="44">
        <v>44317</v>
      </c>
      <c r="B11" s="12">
        <v>1</v>
      </c>
      <c r="C11" s="12">
        <v>33</v>
      </c>
      <c r="D11" s="12" t="s">
        <v>573</v>
      </c>
      <c r="E11" s="12" t="s">
        <v>367</v>
      </c>
      <c r="F11" s="12" t="s">
        <v>366</v>
      </c>
      <c r="G11" s="12">
        <v>137</v>
      </c>
      <c r="H11" s="45">
        <v>44328</v>
      </c>
      <c r="I11" s="13">
        <v>0</v>
      </c>
      <c r="J11" s="13">
        <v>138445</v>
      </c>
      <c r="K11" s="13">
        <v>0</v>
      </c>
      <c r="L11" s="13">
        <v>26305</v>
      </c>
      <c r="M11" s="13">
        <v>9</v>
      </c>
      <c r="N11" s="20">
        <v>164750</v>
      </c>
      <c r="O11" s="46"/>
      <c r="P11" t="s">
        <v>590</v>
      </c>
      <c r="R11" s="47" t="s">
        <v>591</v>
      </c>
      <c r="S11" s="10">
        <v>372760</v>
      </c>
      <c r="T11" s="10">
        <v>1545480</v>
      </c>
      <c r="U11" s="10">
        <v>0</v>
      </c>
      <c r="V11" s="10">
        <v>293641</v>
      </c>
      <c r="W11" s="10">
        <v>2211881</v>
      </c>
    </row>
    <row r="12" spans="1:23" hidden="1" x14ac:dyDescent="0.25">
      <c r="A12" s="44">
        <v>44317</v>
      </c>
      <c r="B12" s="12">
        <v>2</v>
      </c>
      <c r="C12" s="12">
        <v>34</v>
      </c>
      <c r="D12" s="12" t="s">
        <v>578</v>
      </c>
      <c r="E12" s="12" t="s">
        <v>579</v>
      </c>
      <c r="F12" s="12" t="s">
        <v>580</v>
      </c>
      <c r="G12" s="12">
        <v>423</v>
      </c>
      <c r="H12" s="45">
        <v>44318</v>
      </c>
      <c r="I12" s="13">
        <v>88506</v>
      </c>
      <c r="J12" s="13">
        <v>0</v>
      </c>
      <c r="K12" s="13">
        <v>0</v>
      </c>
      <c r="L12" s="13">
        <v>0</v>
      </c>
      <c r="M12" s="13">
        <v>0</v>
      </c>
      <c r="N12" s="20">
        <v>88506</v>
      </c>
      <c r="O12" s="46"/>
      <c r="P12" s="60" t="s">
        <v>590</v>
      </c>
      <c r="R12" s="47" t="s">
        <v>592</v>
      </c>
      <c r="S12" s="10">
        <v>0</v>
      </c>
      <c r="T12" s="10">
        <v>3925000</v>
      </c>
      <c r="U12" s="10">
        <v>0</v>
      </c>
      <c r="V12" s="10">
        <v>745750</v>
      </c>
      <c r="W12" s="10">
        <v>4670750</v>
      </c>
    </row>
    <row r="13" spans="1:23" hidden="1" x14ac:dyDescent="0.25">
      <c r="A13" s="44">
        <v>44348</v>
      </c>
      <c r="B13" s="12">
        <v>1</v>
      </c>
      <c r="C13" s="12">
        <v>33</v>
      </c>
      <c r="D13" s="12" t="s">
        <v>573</v>
      </c>
      <c r="E13" s="12" t="s">
        <v>296</v>
      </c>
      <c r="F13" s="12" t="s">
        <v>297</v>
      </c>
      <c r="G13" s="12">
        <v>112739</v>
      </c>
      <c r="H13" s="45">
        <v>44372</v>
      </c>
      <c r="I13" s="13">
        <v>0</v>
      </c>
      <c r="J13" s="13">
        <v>460000</v>
      </c>
      <c r="K13" s="13">
        <v>0</v>
      </c>
      <c r="L13" s="13">
        <v>87400</v>
      </c>
      <c r="M13" s="13">
        <v>9</v>
      </c>
      <c r="N13" s="13">
        <v>547400</v>
      </c>
      <c r="O13" s="46"/>
      <c r="P13" t="s">
        <v>706</v>
      </c>
      <c r="R13" s="47" t="s">
        <v>593</v>
      </c>
      <c r="S13" s="10">
        <v>0</v>
      </c>
      <c r="T13" s="10">
        <v>218000</v>
      </c>
      <c r="U13" s="10">
        <v>0</v>
      </c>
      <c r="V13" s="10">
        <v>41420</v>
      </c>
      <c r="W13" s="10">
        <v>259420</v>
      </c>
    </row>
    <row r="14" spans="1:23" hidden="1" x14ac:dyDescent="0.25">
      <c r="A14" s="44">
        <v>44348</v>
      </c>
      <c r="B14" s="12">
        <v>2</v>
      </c>
      <c r="C14" s="12">
        <v>33</v>
      </c>
      <c r="D14" s="12" t="s">
        <v>573</v>
      </c>
      <c r="E14" s="12" t="s">
        <v>296</v>
      </c>
      <c r="F14" s="12" t="s">
        <v>297</v>
      </c>
      <c r="G14" s="12">
        <v>112737</v>
      </c>
      <c r="H14" s="45">
        <v>44372</v>
      </c>
      <c r="I14" s="13">
        <v>0</v>
      </c>
      <c r="J14" s="13">
        <v>100000</v>
      </c>
      <c r="K14" s="13">
        <v>0</v>
      </c>
      <c r="L14" s="13">
        <v>19000</v>
      </c>
      <c r="M14" s="13">
        <v>9</v>
      </c>
      <c r="N14" s="13">
        <v>119000</v>
      </c>
      <c r="O14" s="46"/>
      <c r="P14" t="s">
        <v>706</v>
      </c>
      <c r="R14" s="47" t="s">
        <v>594</v>
      </c>
      <c r="S14" s="10">
        <v>2007190</v>
      </c>
      <c r="T14" s="10">
        <v>19562005</v>
      </c>
      <c r="U14" s="10">
        <v>1755</v>
      </c>
      <c r="V14" s="10">
        <v>3715028</v>
      </c>
      <c r="W14" s="10">
        <v>25285978</v>
      </c>
    </row>
    <row r="15" spans="1:23" hidden="1" x14ac:dyDescent="0.25">
      <c r="A15" s="44">
        <v>44348</v>
      </c>
      <c r="B15" s="12">
        <v>3</v>
      </c>
      <c r="C15" s="12">
        <v>33</v>
      </c>
      <c r="D15" s="12" t="s">
        <v>573</v>
      </c>
      <c r="E15" s="12" t="s">
        <v>296</v>
      </c>
      <c r="F15" s="12" t="s">
        <v>297</v>
      </c>
      <c r="G15" s="12">
        <v>112738</v>
      </c>
      <c r="H15" s="45">
        <v>44372</v>
      </c>
      <c r="I15" s="13">
        <v>0</v>
      </c>
      <c r="J15" s="13">
        <v>350000</v>
      </c>
      <c r="K15" s="13">
        <v>0</v>
      </c>
      <c r="L15" s="13">
        <v>66500</v>
      </c>
      <c r="M15" s="13">
        <v>9</v>
      </c>
      <c r="N15" s="13">
        <v>416500</v>
      </c>
      <c r="O15" s="46"/>
      <c r="P15" t="s">
        <v>706</v>
      </c>
    </row>
    <row r="16" spans="1:23" x14ac:dyDescent="0.25">
      <c r="A16" s="44">
        <v>44348</v>
      </c>
      <c r="B16" s="12">
        <v>4</v>
      </c>
      <c r="C16" s="12">
        <v>33</v>
      </c>
      <c r="D16" s="12" t="s">
        <v>573</v>
      </c>
      <c r="E16" s="12" t="s">
        <v>582</v>
      </c>
      <c r="F16" s="12" t="s">
        <v>583</v>
      </c>
      <c r="G16" s="12">
        <v>67069</v>
      </c>
      <c r="H16" s="45">
        <v>44349</v>
      </c>
      <c r="I16" s="13">
        <v>0</v>
      </c>
      <c r="J16" s="13">
        <v>12865</v>
      </c>
      <c r="K16" s="13">
        <v>0</v>
      </c>
      <c r="L16" s="13">
        <v>2444</v>
      </c>
      <c r="M16" s="13">
        <v>9</v>
      </c>
      <c r="N16" s="13">
        <v>15309</v>
      </c>
      <c r="O16" s="46" t="s">
        <v>595</v>
      </c>
      <c r="P16" t="s">
        <v>576</v>
      </c>
    </row>
    <row r="17" spans="1:16" x14ac:dyDescent="0.25">
      <c r="A17" s="44">
        <v>44348</v>
      </c>
      <c r="B17" s="12">
        <v>5</v>
      </c>
      <c r="C17" s="12">
        <v>33</v>
      </c>
      <c r="D17" s="12" t="s">
        <v>573</v>
      </c>
      <c r="E17" s="12" t="s">
        <v>582</v>
      </c>
      <c r="F17" s="12" t="s">
        <v>583</v>
      </c>
      <c r="G17" s="12">
        <v>67085</v>
      </c>
      <c r="H17" s="45">
        <v>44350</v>
      </c>
      <c r="I17" s="13">
        <v>0</v>
      </c>
      <c r="J17" s="13">
        <v>10624</v>
      </c>
      <c r="K17" s="13">
        <v>0</v>
      </c>
      <c r="L17" s="13">
        <v>2018</v>
      </c>
      <c r="M17" s="13">
        <v>9</v>
      </c>
      <c r="N17" s="13">
        <v>12642</v>
      </c>
      <c r="O17" s="46"/>
      <c r="P17" t="s">
        <v>576</v>
      </c>
    </row>
    <row r="18" spans="1:16" x14ac:dyDescent="0.25">
      <c r="A18" s="44">
        <v>44348</v>
      </c>
      <c r="B18" s="12">
        <v>6</v>
      </c>
      <c r="C18" s="12">
        <v>34</v>
      </c>
      <c r="D18" s="12" t="s">
        <v>578</v>
      </c>
      <c r="E18" s="12" t="s">
        <v>596</v>
      </c>
      <c r="F18" s="12" t="s">
        <v>597</v>
      </c>
      <c r="G18" s="12">
        <v>4793268</v>
      </c>
      <c r="H18" s="45">
        <v>44374</v>
      </c>
      <c r="I18" s="13">
        <v>145612</v>
      </c>
      <c r="J18" s="13">
        <v>0</v>
      </c>
      <c r="K18" s="13">
        <v>0</v>
      </c>
      <c r="L18" s="13">
        <v>0</v>
      </c>
      <c r="M18" s="13">
        <v>0</v>
      </c>
      <c r="N18" s="13">
        <v>145612</v>
      </c>
      <c r="O18" s="46"/>
      <c r="P18" t="s">
        <v>576</v>
      </c>
    </row>
    <row r="19" spans="1:16" x14ac:dyDescent="0.25">
      <c r="A19" s="44">
        <v>44348</v>
      </c>
      <c r="B19" s="12">
        <v>7</v>
      </c>
      <c r="C19" s="12">
        <v>34</v>
      </c>
      <c r="D19" s="12" t="s">
        <v>578</v>
      </c>
      <c r="E19" s="12" t="s">
        <v>596</v>
      </c>
      <c r="F19" s="12" t="s">
        <v>597</v>
      </c>
      <c r="G19" s="12">
        <v>4793270</v>
      </c>
      <c r="H19" s="45">
        <v>44374</v>
      </c>
      <c r="I19" s="13">
        <v>62806</v>
      </c>
      <c r="J19" s="13">
        <v>0</v>
      </c>
      <c r="K19" s="13">
        <v>0</v>
      </c>
      <c r="L19" s="13">
        <v>0</v>
      </c>
      <c r="M19" s="13">
        <v>0</v>
      </c>
      <c r="N19" s="13">
        <v>62806</v>
      </c>
      <c r="O19" s="46"/>
      <c r="P19" t="s">
        <v>576</v>
      </c>
    </row>
    <row r="20" spans="1:16" hidden="1" x14ac:dyDescent="0.25">
      <c r="A20" s="44">
        <v>44378</v>
      </c>
      <c r="B20" s="12">
        <v>1</v>
      </c>
      <c r="C20" s="12">
        <v>33</v>
      </c>
      <c r="D20" s="12" t="s">
        <v>573</v>
      </c>
      <c r="E20" s="12" t="s">
        <v>598</v>
      </c>
      <c r="F20" s="12" t="s">
        <v>599</v>
      </c>
      <c r="G20" s="12">
        <v>37162294</v>
      </c>
      <c r="H20" s="45">
        <v>44405</v>
      </c>
      <c r="I20" s="13">
        <v>0</v>
      </c>
      <c r="J20" s="13">
        <v>5742</v>
      </c>
      <c r="K20" s="13">
        <v>0</v>
      </c>
      <c r="L20" s="13">
        <v>1091</v>
      </c>
      <c r="M20" s="13">
        <v>9</v>
      </c>
      <c r="N20" s="20">
        <v>6833</v>
      </c>
      <c r="O20" s="46"/>
      <c r="P20" t="s">
        <v>590</v>
      </c>
    </row>
    <row r="21" spans="1:16" x14ac:dyDescent="0.25">
      <c r="A21" s="44">
        <v>44378</v>
      </c>
      <c r="B21" s="12">
        <v>2</v>
      </c>
      <c r="C21" s="12">
        <v>33</v>
      </c>
      <c r="D21" s="12" t="s">
        <v>573</v>
      </c>
      <c r="E21" s="12" t="s">
        <v>600</v>
      </c>
      <c r="F21" s="12" t="s">
        <v>601</v>
      </c>
      <c r="G21" s="12">
        <v>14580</v>
      </c>
      <c r="H21" s="45">
        <v>44393</v>
      </c>
      <c r="I21" s="13">
        <v>0</v>
      </c>
      <c r="J21" s="13">
        <v>188303</v>
      </c>
      <c r="K21" s="13">
        <v>0</v>
      </c>
      <c r="L21" s="13">
        <v>35778</v>
      </c>
      <c r="M21" s="13">
        <v>9</v>
      </c>
      <c r="N21" s="13">
        <v>224081</v>
      </c>
      <c r="O21" s="46"/>
      <c r="P21" t="s">
        <v>576</v>
      </c>
    </row>
    <row r="22" spans="1:16" hidden="1" x14ac:dyDescent="0.25">
      <c r="A22" s="44">
        <v>44378</v>
      </c>
      <c r="B22" s="12">
        <v>3</v>
      </c>
      <c r="C22" s="12">
        <v>33</v>
      </c>
      <c r="D22" s="12" t="s">
        <v>573</v>
      </c>
      <c r="E22" s="12" t="s">
        <v>296</v>
      </c>
      <c r="F22" s="12" t="s">
        <v>297</v>
      </c>
      <c r="G22" s="12">
        <v>113182</v>
      </c>
      <c r="H22" s="45">
        <v>44392</v>
      </c>
      <c r="I22" s="13">
        <v>0</v>
      </c>
      <c r="J22" s="13">
        <v>200000</v>
      </c>
      <c r="K22" s="13">
        <v>0</v>
      </c>
      <c r="L22" s="13">
        <v>38000</v>
      </c>
      <c r="M22" s="13">
        <v>9</v>
      </c>
      <c r="N22" s="13">
        <v>238000</v>
      </c>
      <c r="O22" s="46"/>
      <c r="P22" t="s">
        <v>706</v>
      </c>
    </row>
    <row r="23" spans="1:16" hidden="1" x14ac:dyDescent="0.25">
      <c r="A23" s="44">
        <v>44378</v>
      </c>
      <c r="B23" s="12">
        <v>4</v>
      </c>
      <c r="C23" s="12">
        <v>33</v>
      </c>
      <c r="D23" s="12" t="s">
        <v>573</v>
      </c>
      <c r="E23" s="12" t="s">
        <v>296</v>
      </c>
      <c r="F23" s="12" t="s">
        <v>297</v>
      </c>
      <c r="G23" s="12">
        <v>113184</v>
      </c>
      <c r="H23" s="45">
        <v>44392</v>
      </c>
      <c r="I23" s="13">
        <v>0</v>
      </c>
      <c r="J23" s="13">
        <v>752000</v>
      </c>
      <c r="K23" s="13">
        <v>0</v>
      </c>
      <c r="L23" s="13">
        <v>142880</v>
      </c>
      <c r="M23" s="13">
        <v>9</v>
      </c>
      <c r="N23" s="13">
        <v>894880</v>
      </c>
      <c r="O23" s="46"/>
      <c r="P23" t="s">
        <v>706</v>
      </c>
    </row>
    <row r="24" spans="1:16" hidden="1" x14ac:dyDescent="0.25">
      <c r="A24" s="44">
        <v>44378</v>
      </c>
      <c r="B24" s="12">
        <v>5</v>
      </c>
      <c r="C24" s="12">
        <v>33</v>
      </c>
      <c r="D24" s="12" t="s">
        <v>573</v>
      </c>
      <c r="E24" s="12" t="s">
        <v>296</v>
      </c>
      <c r="F24" s="12" t="s">
        <v>297</v>
      </c>
      <c r="G24" s="12">
        <v>113183</v>
      </c>
      <c r="H24" s="45">
        <v>44392</v>
      </c>
      <c r="I24" s="13">
        <v>0</v>
      </c>
      <c r="J24" s="13">
        <v>280000</v>
      </c>
      <c r="K24" s="13">
        <v>0</v>
      </c>
      <c r="L24" s="13">
        <v>53200</v>
      </c>
      <c r="M24" s="13">
        <v>9</v>
      </c>
      <c r="N24" s="13">
        <v>333200</v>
      </c>
      <c r="O24" s="46"/>
      <c r="P24" t="s">
        <v>706</v>
      </c>
    </row>
    <row r="25" spans="1:16" hidden="1" x14ac:dyDescent="0.25">
      <c r="A25" s="44">
        <v>44378</v>
      </c>
      <c r="B25" s="12">
        <v>6</v>
      </c>
      <c r="C25" s="12">
        <v>33</v>
      </c>
      <c r="D25" s="12" t="s">
        <v>573</v>
      </c>
      <c r="E25" s="12" t="s">
        <v>602</v>
      </c>
      <c r="F25" s="12" t="s">
        <v>603</v>
      </c>
      <c r="G25" s="12">
        <v>644</v>
      </c>
      <c r="H25" s="45">
        <v>44386</v>
      </c>
      <c r="I25" s="13">
        <v>0</v>
      </c>
      <c r="J25" s="13">
        <v>218000</v>
      </c>
      <c r="K25" s="13">
        <v>0</v>
      </c>
      <c r="L25" s="13">
        <v>41420</v>
      </c>
      <c r="M25" s="13">
        <v>9</v>
      </c>
      <c r="N25" s="20">
        <v>259420</v>
      </c>
      <c r="O25" s="46"/>
      <c r="P25" t="s">
        <v>590</v>
      </c>
    </row>
    <row r="26" spans="1:16" hidden="1" x14ac:dyDescent="0.25">
      <c r="A26" s="44">
        <v>44378</v>
      </c>
      <c r="B26" s="12">
        <v>7</v>
      </c>
      <c r="C26" s="12">
        <v>33</v>
      </c>
      <c r="D26" s="12" t="s">
        <v>573</v>
      </c>
      <c r="E26" s="12" t="s">
        <v>602</v>
      </c>
      <c r="F26" s="12" t="s">
        <v>603</v>
      </c>
      <c r="G26" s="12">
        <v>643</v>
      </c>
      <c r="H26" s="45">
        <v>44386</v>
      </c>
      <c r="I26" s="13">
        <v>0</v>
      </c>
      <c r="J26" s="13">
        <v>258000</v>
      </c>
      <c r="K26" s="13">
        <v>0</v>
      </c>
      <c r="L26" s="13">
        <v>49020</v>
      </c>
      <c r="M26" s="13">
        <v>9</v>
      </c>
      <c r="N26" s="20">
        <v>307020</v>
      </c>
      <c r="O26" s="46"/>
      <c r="P26" t="s">
        <v>590</v>
      </c>
    </row>
    <row r="27" spans="1:16" hidden="1" x14ac:dyDescent="0.25">
      <c r="A27" s="44">
        <v>44378</v>
      </c>
      <c r="B27" s="12">
        <v>8</v>
      </c>
      <c r="C27" s="12">
        <v>33</v>
      </c>
      <c r="D27" s="12" t="s">
        <v>573</v>
      </c>
      <c r="E27" s="12" t="s">
        <v>296</v>
      </c>
      <c r="F27" s="12" t="s">
        <v>297</v>
      </c>
      <c r="G27" s="12">
        <v>112987</v>
      </c>
      <c r="H27" s="45">
        <v>44384</v>
      </c>
      <c r="I27" s="13">
        <v>0</v>
      </c>
      <c r="J27" s="13">
        <v>200000</v>
      </c>
      <c r="K27" s="13">
        <v>0</v>
      </c>
      <c r="L27" s="13">
        <v>38000</v>
      </c>
      <c r="M27" s="13">
        <v>9</v>
      </c>
      <c r="N27" s="13">
        <v>238000</v>
      </c>
      <c r="O27" s="46"/>
      <c r="P27" t="s">
        <v>706</v>
      </c>
    </row>
    <row r="28" spans="1:16" hidden="1" x14ac:dyDescent="0.25">
      <c r="A28" s="44">
        <v>44378</v>
      </c>
      <c r="B28" s="12">
        <v>9</v>
      </c>
      <c r="C28" s="12">
        <v>33</v>
      </c>
      <c r="D28" s="12" t="s">
        <v>573</v>
      </c>
      <c r="E28" s="12" t="s">
        <v>296</v>
      </c>
      <c r="F28" s="12" t="s">
        <v>297</v>
      </c>
      <c r="G28" s="12">
        <v>112988</v>
      </c>
      <c r="H28" s="45">
        <v>44384</v>
      </c>
      <c r="I28" s="13">
        <v>0</v>
      </c>
      <c r="J28" s="13">
        <v>592000</v>
      </c>
      <c r="K28" s="13">
        <v>0</v>
      </c>
      <c r="L28" s="13">
        <v>112480</v>
      </c>
      <c r="M28" s="13">
        <v>9</v>
      </c>
      <c r="N28" s="13">
        <v>704480</v>
      </c>
      <c r="O28" s="46"/>
      <c r="P28" t="s">
        <v>706</v>
      </c>
    </row>
    <row r="29" spans="1:16" x14ac:dyDescent="0.25">
      <c r="A29" s="44">
        <v>44378</v>
      </c>
      <c r="B29" s="12">
        <v>10</v>
      </c>
      <c r="C29" s="12">
        <v>33</v>
      </c>
      <c r="D29" s="12" t="s">
        <v>573</v>
      </c>
      <c r="E29" s="12" t="s">
        <v>604</v>
      </c>
      <c r="F29" s="12" t="s">
        <v>605</v>
      </c>
      <c r="G29" s="12">
        <v>956013</v>
      </c>
      <c r="H29" s="45">
        <v>44382</v>
      </c>
      <c r="I29" s="13">
        <v>0</v>
      </c>
      <c r="J29" s="13">
        <v>321744</v>
      </c>
      <c r="K29" s="13">
        <v>0</v>
      </c>
      <c r="L29" s="13">
        <v>61131</v>
      </c>
      <c r="M29" s="13">
        <v>9</v>
      </c>
      <c r="N29" s="13">
        <v>382875</v>
      </c>
      <c r="O29" s="46"/>
      <c r="P29" t="s">
        <v>576</v>
      </c>
    </row>
    <row r="30" spans="1:16" x14ac:dyDescent="0.25">
      <c r="A30" s="44">
        <v>44378</v>
      </c>
      <c r="B30" s="12">
        <v>11</v>
      </c>
      <c r="C30" s="12">
        <v>33</v>
      </c>
      <c r="D30" s="12" t="s">
        <v>573</v>
      </c>
      <c r="E30" s="12" t="s">
        <v>602</v>
      </c>
      <c r="F30" s="12" t="s">
        <v>603</v>
      </c>
      <c r="G30" s="12">
        <v>642</v>
      </c>
      <c r="H30" s="45">
        <v>44378</v>
      </c>
      <c r="I30" s="13">
        <v>0</v>
      </c>
      <c r="J30" s="13">
        <v>258000</v>
      </c>
      <c r="K30" s="13">
        <v>0</v>
      </c>
      <c r="L30" s="13">
        <v>49020</v>
      </c>
      <c r="M30" s="13">
        <v>9</v>
      </c>
      <c r="N30" s="13">
        <v>307020</v>
      </c>
      <c r="O30" s="46"/>
      <c r="P30" t="s">
        <v>576</v>
      </c>
    </row>
    <row r="31" spans="1:16" x14ac:dyDescent="0.25">
      <c r="A31" s="44">
        <v>44378</v>
      </c>
      <c r="B31" s="12">
        <v>12</v>
      </c>
      <c r="C31" s="12">
        <v>61</v>
      </c>
      <c r="D31" s="12" t="s">
        <v>573</v>
      </c>
      <c r="E31" s="12" t="s">
        <v>602</v>
      </c>
      <c r="F31" s="12" t="s">
        <v>603</v>
      </c>
      <c r="G31" s="12">
        <v>24</v>
      </c>
      <c r="H31" s="45">
        <v>44386</v>
      </c>
      <c r="I31" s="13">
        <v>0</v>
      </c>
      <c r="J31" s="13">
        <v>-258000</v>
      </c>
      <c r="K31" s="13">
        <v>0</v>
      </c>
      <c r="L31" s="13">
        <v>-49020</v>
      </c>
      <c r="M31" s="13">
        <v>9</v>
      </c>
      <c r="N31" s="13">
        <v>-307020</v>
      </c>
      <c r="O31" s="46"/>
      <c r="P31" t="s">
        <v>576</v>
      </c>
    </row>
    <row r="32" spans="1:16" hidden="1" x14ac:dyDescent="0.25">
      <c r="A32" s="44">
        <v>44409</v>
      </c>
      <c r="B32" s="12">
        <v>1</v>
      </c>
      <c r="C32" s="12">
        <v>33</v>
      </c>
      <c r="D32" s="12" t="s">
        <v>573</v>
      </c>
      <c r="E32" s="12" t="s">
        <v>296</v>
      </c>
      <c r="F32" s="12" t="s">
        <v>297</v>
      </c>
      <c r="G32" s="12">
        <v>114876</v>
      </c>
      <c r="H32" s="45">
        <v>44439</v>
      </c>
      <c r="I32" s="13">
        <v>0</v>
      </c>
      <c r="J32" s="13">
        <v>1000000</v>
      </c>
      <c r="K32" s="13">
        <v>0</v>
      </c>
      <c r="L32" s="13">
        <v>190000</v>
      </c>
      <c r="M32" s="13">
        <v>9</v>
      </c>
      <c r="N32" s="13">
        <v>1190000</v>
      </c>
      <c r="O32" s="46"/>
      <c r="P32" t="s">
        <v>706</v>
      </c>
    </row>
    <row r="33" spans="1:16" hidden="1" x14ac:dyDescent="0.25">
      <c r="A33" s="44">
        <v>44409</v>
      </c>
      <c r="B33" s="12">
        <v>2</v>
      </c>
      <c r="C33" s="12">
        <v>33</v>
      </c>
      <c r="D33" s="12" t="s">
        <v>573</v>
      </c>
      <c r="E33" s="12" t="s">
        <v>369</v>
      </c>
      <c r="F33" s="12" t="s">
        <v>606</v>
      </c>
      <c r="G33" s="12">
        <v>16</v>
      </c>
      <c r="H33" s="45">
        <v>44439</v>
      </c>
      <c r="I33" s="13">
        <v>0</v>
      </c>
      <c r="J33" s="13">
        <v>1590000</v>
      </c>
      <c r="K33" s="13">
        <v>0</v>
      </c>
      <c r="L33" s="13">
        <v>302100</v>
      </c>
      <c r="M33" s="13">
        <v>9</v>
      </c>
      <c r="N33" s="20">
        <v>1892100</v>
      </c>
      <c r="O33" s="46"/>
      <c r="P33" s="60" t="s">
        <v>590</v>
      </c>
    </row>
    <row r="34" spans="1:16" hidden="1" x14ac:dyDescent="0.25">
      <c r="A34" s="44">
        <v>44409</v>
      </c>
      <c r="B34" s="12">
        <v>3</v>
      </c>
      <c r="C34" s="12">
        <v>33</v>
      </c>
      <c r="D34" s="12" t="s">
        <v>573</v>
      </c>
      <c r="E34" s="12" t="s">
        <v>296</v>
      </c>
      <c r="F34" s="12" t="s">
        <v>297</v>
      </c>
      <c r="G34" s="12">
        <v>114883</v>
      </c>
      <c r="H34" s="45">
        <v>44439</v>
      </c>
      <c r="I34" s="13">
        <v>0</v>
      </c>
      <c r="J34" s="13">
        <v>724000</v>
      </c>
      <c r="K34" s="13">
        <v>0</v>
      </c>
      <c r="L34" s="13">
        <v>137560</v>
      </c>
      <c r="M34" s="13">
        <v>9</v>
      </c>
      <c r="N34" s="13">
        <v>861560</v>
      </c>
      <c r="O34" s="46"/>
      <c r="P34" t="s">
        <v>706</v>
      </c>
    </row>
    <row r="35" spans="1:16" hidden="1" x14ac:dyDescent="0.25">
      <c r="A35" s="44">
        <v>44409</v>
      </c>
      <c r="B35" s="12">
        <v>4</v>
      </c>
      <c r="C35" s="12">
        <v>33</v>
      </c>
      <c r="D35" s="12" t="s">
        <v>573</v>
      </c>
      <c r="E35" s="12" t="s">
        <v>296</v>
      </c>
      <c r="F35" s="12" t="s">
        <v>297</v>
      </c>
      <c r="G35" s="12">
        <v>114872</v>
      </c>
      <c r="H35" s="45">
        <v>44439</v>
      </c>
      <c r="I35" s="13">
        <v>0</v>
      </c>
      <c r="J35" s="13">
        <v>200000</v>
      </c>
      <c r="K35" s="13">
        <v>0</v>
      </c>
      <c r="L35" s="13">
        <v>38000</v>
      </c>
      <c r="M35" s="13">
        <v>9</v>
      </c>
      <c r="N35" s="13">
        <v>238000</v>
      </c>
      <c r="O35" s="46"/>
      <c r="P35" t="s">
        <v>706</v>
      </c>
    </row>
    <row r="36" spans="1:16" hidden="1" x14ac:dyDescent="0.25">
      <c r="A36" s="44">
        <v>44409</v>
      </c>
      <c r="B36" s="12">
        <v>5</v>
      </c>
      <c r="C36" s="12">
        <v>33</v>
      </c>
      <c r="D36" s="12" t="s">
        <v>573</v>
      </c>
      <c r="E36" s="12" t="s">
        <v>296</v>
      </c>
      <c r="F36" s="12" t="s">
        <v>297</v>
      </c>
      <c r="G36" s="12">
        <v>114873</v>
      </c>
      <c r="H36" s="45">
        <v>44439</v>
      </c>
      <c r="I36" s="13">
        <v>0</v>
      </c>
      <c r="J36" s="13">
        <v>900000</v>
      </c>
      <c r="K36" s="13">
        <v>0</v>
      </c>
      <c r="L36" s="13">
        <v>171000</v>
      </c>
      <c r="M36" s="13">
        <v>9</v>
      </c>
      <c r="N36" s="13">
        <v>1071000</v>
      </c>
      <c r="O36" s="46"/>
      <c r="P36" t="s">
        <v>706</v>
      </c>
    </row>
    <row r="37" spans="1:16" hidden="1" x14ac:dyDescent="0.25">
      <c r="A37" s="44">
        <v>44409</v>
      </c>
      <c r="B37" s="12">
        <v>6</v>
      </c>
      <c r="C37" s="12">
        <v>33</v>
      </c>
      <c r="D37" s="12" t="s">
        <v>573</v>
      </c>
      <c r="E37" s="12" t="s">
        <v>296</v>
      </c>
      <c r="F37" s="12" t="s">
        <v>297</v>
      </c>
      <c r="G37" s="12">
        <v>114882</v>
      </c>
      <c r="H37" s="45">
        <v>44439</v>
      </c>
      <c r="I37" s="13">
        <v>0</v>
      </c>
      <c r="J37" s="13">
        <v>210000</v>
      </c>
      <c r="K37" s="13">
        <v>0</v>
      </c>
      <c r="L37" s="13">
        <v>39900</v>
      </c>
      <c r="M37" s="13">
        <v>9</v>
      </c>
      <c r="N37" s="13">
        <v>249900</v>
      </c>
      <c r="O37" s="46"/>
      <c r="P37" t="s">
        <v>706</v>
      </c>
    </row>
    <row r="38" spans="1:16" hidden="1" x14ac:dyDescent="0.25">
      <c r="A38" s="44">
        <v>44409</v>
      </c>
      <c r="B38" s="12">
        <v>7</v>
      </c>
      <c r="C38" s="12">
        <v>33</v>
      </c>
      <c r="D38" s="12" t="s">
        <v>573</v>
      </c>
      <c r="E38" s="12" t="s">
        <v>296</v>
      </c>
      <c r="F38" s="12" t="s">
        <v>297</v>
      </c>
      <c r="G38" s="12">
        <v>114881</v>
      </c>
      <c r="H38" s="45">
        <v>44439</v>
      </c>
      <c r="I38" s="13">
        <v>0</v>
      </c>
      <c r="J38" s="13">
        <v>200000</v>
      </c>
      <c r="K38" s="13">
        <v>0</v>
      </c>
      <c r="L38" s="13">
        <v>38000</v>
      </c>
      <c r="M38" s="13">
        <v>9</v>
      </c>
      <c r="N38" s="13">
        <v>238000</v>
      </c>
      <c r="O38" s="46"/>
      <c r="P38" t="s">
        <v>706</v>
      </c>
    </row>
    <row r="39" spans="1:16" hidden="1" x14ac:dyDescent="0.25">
      <c r="A39" s="44">
        <v>44409</v>
      </c>
      <c r="B39" s="12">
        <v>8</v>
      </c>
      <c r="C39" s="12">
        <v>33</v>
      </c>
      <c r="D39" s="12" t="s">
        <v>573</v>
      </c>
      <c r="E39" s="12" t="s">
        <v>598</v>
      </c>
      <c r="F39" s="12" t="s">
        <v>599</v>
      </c>
      <c r="G39" s="12">
        <v>37439348</v>
      </c>
      <c r="H39" s="45">
        <v>44435</v>
      </c>
      <c r="I39" s="13">
        <v>0</v>
      </c>
      <c r="J39" s="13">
        <v>3835</v>
      </c>
      <c r="K39" s="13">
        <v>0</v>
      </c>
      <c r="L39" s="13">
        <v>730</v>
      </c>
      <c r="M39" s="13">
        <v>9</v>
      </c>
      <c r="N39" s="20">
        <v>4565</v>
      </c>
      <c r="O39" s="46"/>
      <c r="P39" t="s">
        <v>590</v>
      </c>
    </row>
    <row r="40" spans="1:16" hidden="1" x14ac:dyDescent="0.25">
      <c r="A40" s="44">
        <v>44409</v>
      </c>
      <c r="B40" s="12">
        <v>9</v>
      </c>
      <c r="C40" s="12">
        <v>33</v>
      </c>
      <c r="D40" s="12" t="s">
        <v>573</v>
      </c>
      <c r="E40" s="12" t="s">
        <v>602</v>
      </c>
      <c r="F40" s="12" t="s">
        <v>603</v>
      </c>
      <c r="G40" s="12">
        <v>658</v>
      </c>
      <c r="H40" s="45">
        <v>44425</v>
      </c>
      <c r="I40" s="13">
        <v>0</v>
      </c>
      <c r="J40" s="13">
        <v>218000</v>
      </c>
      <c r="K40" s="13">
        <v>0</v>
      </c>
      <c r="L40" s="13">
        <v>41420</v>
      </c>
      <c r="M40" s="13">
        <v>9</v>
      </c>
      <c r="N40" s="20">
        <v>259420</v>
      </c>
      <c r="O40" s="46"/>
      <c r="P40" t="s">
        <v>590</v>
      </c>
    </row>
    <row r="41" spans="1:16" hidden="1" x14ac:dyDescent="0.25">
      <c r="A41" s="44">
        <v>44440</v>
      </c>
      <c r="B41" s="12">
        <v>1</v>
      </c>
      <c r="C41" s="12">
        <v>33</v>
      </c>
      <c r="D41" s="12" t="s">
        <v>573</v>
      </c>
      <c r="E41" s="12" t="s">
        <v>369</v>
      </c>
      <c r="F41" s="12" t="s">
        <v>606</v>
      </c>
      <c r="G41" s="12">
        <v>17</v>
      </c>
      <c r="H41" s="45">
        <v>44469</v>
      </c>
      <c r="I41" s="13">
        <v>0</v>
      </c>
      <c r="J41" s="13">
        <v>745000</v>
      </c>
      <c r="K41" s="13">
        <v>0</v>
      </c>
      <c r="L41" s="13">
        <v>141550</v>
      </c>
      <c r="M41" s="13">
        <v>9</v>
      </c>
      <c r="N41" s="20">
        <v>886550</v>
      </c>
      <c r="O41" s="46"/>
      <c r="P41" s="60" t="s">
        <v>590</v>
      </c>
    </row>
    <row r="42" spans="1:16" hidden="1" x14ac:dyDescent="0.25">
      <c r="A42" s="44">
        <v>44440</v>
      </c>
      <c r="B42" s="12">
        <v>2</v>
      </c>
      <c r="C42" s="12">
        <v>33</v>
      </c>
      <c r="D42" s="12" t="s">
        <v>573</v>
      </c>
      <c r="E42" s="12" t="s">
        <v>296</v>
      </c>
      <c r="F42" s="12" t="s">
        <v>297</v>
      </c>
      <c r="G42" s="12">
        <v>115302</v>
      </c>
      <c r="H42" s="45">
        <v>44459</v>
      </c>
      <c r="I42" s="13">
        <v>0</v>
      </c>
      <c r="J42" s="13">
        <v>920000</v>
      </c>
      <c r="K42" s="13">
        <v>0</v>
      </c>
      <c r="L42" s="13">
        <v>174800</v>
      </c>
      <c r="M42" s="13">
        <v>9</v>
      </c>
      <c r="N42" s="13">
        <v>1094800</v>
      </c>
      <c r="O42" s="46"/>
      <c r="P42" t="s">
        <v>706</v>
      </c>
    </row>
    <row r="43" spans="1:16" hidden="1" x14ac:dyDescent="0.25">
      <c r="A43" s="44">
        <v>44440</v>
      </c>
      <c r="B43" s="12">
        <v>3</v>
      </c>
      <c r="C43" s="12">
        <v>33</v>
      </c>
      <c r="D43" s="12" t="s">
        <v>573</v>
      </c>
      <c r="E43" s="12" t="s">
        <v>296</v>
      </c>
      <c r="F43" s="12" t="s">
        <v>297</v>
      </c>
      <c r="G43" s="12">
        <v>115300</v>
      </c>
      <c r="H43" s="45">
        <v>44459</v>
      </c>
      <c r="I43" s="13">
        <v>0</v>
      </c>
      <c r="J43" s="13">
        <v>200000</v>
      </c>
      <c r="K43" s="13">
        <v>0</v>
      </c>
      <c r="L43" s="13">
        <v>38000</v>
      </c>
      <c r="M43" s="13">
        <v>9</v>
      </c>
      <c r="N43" s="13">
        <v>238000</v>
      </c>
      <c r="O43" s="46"/>
      <c r="P43" t="s">
        <v>706</v>
      </c>
    </row>
    <row r="44" spans="1:16" hidden="1" x14ac:dyDescent="0.25">
      <c r="A44" s="44">
        <v>44440</v>
      </c>
      <c r="B44" s="12">
        <v>4</v>
      </c>
      <c r="C44" s="12">
        <v>33</v>
      </c>
      <c r="D44" s="12" t="s">
        <v>573</v>
      </c>
      <c r="E44" s="12" t="s">
        <v>296</v>
      </c>
      <c r="F44" s="12" t="s">
        <v>297</v>
      </c>
      <c r="G44" s="12">
        <v>115301</v>
      </c>
      <c r="H44" s="45">
        <v>44459</v>
      </c>
      <c r="I44" s="13">
        <v>0</v>
      </c>
      <c r="J44" s="13">
        <v>700000</v>
      </c>
      <c r="K44" s="13">
        <v>0</v>
      </c>
      <c r="L44" s="13">
        <v>133000</v>
      </c>
      <c r="M44" s="13">
        <v>9</v>
      </c>
      <c r="N44" s="13">
        <v>833000</v>
      </c>
      <c r="O44" s="46"/>
      <c r="P44" t="s">
        <v>706</v>
      </c>
    </row>
    <row r="45" spans="1:16" hidden="1" x14ac:dyDescent="0.25">
      <c r="A45" s="44">
        <v>44440</v>
      </c>
      <c r="B45" s="12">
        <v>5</v>
      </c>
      <c r="C45" s="12">
        <v>33</v>
      </c>
      <c r="D45" s="12" t="s">
        <v>573</v>
      </c>
      <c r="E45" s="12" t="s">
        <v>602</v>
      </c>
      <c r="F45" s="12" t="s">
        <v>603</v>
      </c>
      <c r="G45" s="12">
        <v>671</v>
      </c>
      <c r="H45" s="45">
        <v>44453</v>
      </c>
      <c r="I45" s="13">
        <v>0</v>
      </c>
      <c r="J45" s="13">
        <v>480000</v>
      </c>
      <c r="K45" s="13">
        <v>0</v>
      </c>
      <c r="L45" s="13">
        <v>91200</v>
      </c>
      <c r="M45" s="13">
        <v>9</v>
      </c>
      <c r="N45" s="20">
        <v>571200</v>
      </c>
      <c r="O45" s="46"/>
      <c r="P45" t="s">
        <v>590</v>
      </c>
    </row>
    <row r="46" spans="1:16" hidden="1" x14ac:dyDescent="0.25">
      <c r="A46" s="44">
        <v>44440</v>
      </c>
      <c r="B46" s="12">
        <v>6</v>
      </c>
      <c r="C46" s="12">
        <v>33</v>
      </c>
      <c r="D46" s="12" t="s">
        <v>573</v>
      </c>
      <c r="E46" s="12" t="s">
        <v>602</v>
      </c>
      <c r="F46" s="12" t="s">
        <v>603</v>
      </c>
      <c r="G46" s="12">
        <v>668</v>
      </c>
      <c r="H46" s="45">
        <v>44441</v>
      </c>
      <c r="I46" s="13">
        <v>0</v>
      </c>
      <c r="J46" s="13">
        <v>932000</v>
      </c>
      <c r="K46" s="13">
        <v>0</v>
      </c>
      <c r="L46" s="13">
        <v>177080</v>
      </c>
      <c r="M46" s="13">
        <v>9</v>
      </c>
      <c r="N46" s="20">
        <v>1109080</v>
      </c>
      <c r="O46" s="46"/>
      <c r="P46" t="s">
        <v>590</v>
      </c>
    </row>
    <row r="47" spans="1:16" hidden="1" x14ac:dyDescent="0.25">
      <c r="A47" s="44">
        <v>44440</v>
      </c>
      <c r="B47" s="12">
        <v>7</v>
      </c>
      <c r="C47" s="12">
        <v>33</v>
      </c>
      <c r="D47" s="12" t="s">
        <v>573</v>
      </c>
      <c r="E47" s="12" t="s">
        <v>582</v>
      </c>
      <c r="F47" s="12" t="s">
        <v>583</v>
      </c>
      <c r="G47" s="12">
        <v>68672</v>
      </c>
      <c r="H47" s="45">
        <v>44446</v>
      </c>
      <c r="I47" s="13">
        <v>0</v>
      </c>
      <c r="J47" s="13">
        <v>5794</v>
      </c>
      <c r="K47" s="13">
        <v>0</v>
      </c>
      <c r="L47" s="13">
        <v>1101</v>
      </c>
      <c r="M47" s="13">
        <v>9</v>
      </c>
      <c r="N47" s="20">
        <v>6895</v>
      </c>
      <c r="O47" s="46"/>
      <c r="P47" t="s">
        <v>590</v>
      </c>
    </row>
    <row r="48" spans="1:16" hidden="1" x14ac:dyDescent="0.25">
      <c r="A48" s="44">
        <v>44440</v>
      </c>
      <c r="B48" s="12">
        <v>8</v>
      </c>
      <c r="C48" s="12">
        <v>33</v>
      </c>
      <c r="D48" s="12" t="s">
        <v>573</v>
      </c>
      <c r="E48" s="12" t="s">
        <v>332</v>
      </c>
      <c r="F48" s="12" t="s">
        <v>331</v>
      </c>
      <c r="G48" s="12">
        <v>32</v>
      </c>
      <c r="H48" s="45">
        <v>44452</v>
      </c>
      <c r="I48" s="13">
        <v>0</v>
      </c>
      <c r="J48" s="13">
        <v>164708</v>
      </c>
      <c r="K48" s="13">
        <v>0</v>
      </c>
      <c r="L48" s="13">
        <v>31295</v>
      </c>
      <c r="M48" s="13">
        <v>9</v>
      </c>
      <c r="N48" s="20">
        <v>196003</v>
      </c>
      <c r="O48" s="46"/>
      <c r="P48" s="60" t="s">
        <v>590</v>
      </c>
    </row>
    <row r="49" spans="1:16" hidden="1" x14ac:dyDescent="0.25">
      <c r="A49" s="44">
        <v>44470</v>
      </c>
      <c r="B49" s="12">
        <v>1</v>
      </c>
      <c r="C49" s="12">
        <v>33</v>
      </c>
      <c r="D49" s="12" t="s">
        <v>573</v>
      </c>
      <c r="E49" s="12" t="s">
        <v>602</v>
      </c>
      <c r="F49" s="12" t="s">
        <v>603</v>
      </c>
      <c r="G49" s="12">
        <v>677</v>
      </c>
      <c r="H49" s="45">
        <v>44487</v>
      </c>
      <c r="I49" s="13">
        <v>0</v>
      </c>
      <c r="J49" s="13">
        <v>258000</v>
      </c>
      <c r="K49" s="13">
        <v>0</v>
      </c>
      <c r="L49" s="13">
        <v>49020</v>
      </c>
      <c r="M49" s="13">
        <v>9</v>
      </c>
      <c r="N49" s="20">
        <v>307020</v>
      </c>
      <c r="O49" s="46"/>
      <c r="P49" t="s">
        <v>590</v>
      </c>
    </row>
    <row r="50" spans="1:16" hidden="1" x14ac:dyDescent="0.25">
      <c r="A50" s="44">
        <v>44470</v>
      </c>
      <c r="B50" s="12">
        <v>2</v>
      </c>
      <c r="C50" s="12">
        <v>33</v>
      </c>
      <c r="D50" s="12" t="s">
        <v>573</v>
      </c>
      <c r="E50" s="12" t="s">
        <v>332</v>
      </c>
      <c r="F50" s="12" t="s">
        <v>331</v>
      </c>
      <c r="G50" s="12">
        <v>34</v>
      </c>
      <c r="H50" s="45">
        <v>44481</v>
      </c>
      <c r="I50" s="13">
        <v>0</v>
      </c>
      <c r="J50" s="13">
        <v>97480</v>
      </c>
      <c r="K50" s="13">
        <v>0</v>
      </c>
      <c r="L50" s="13">
        <v>18521</v>
      </c>
      <c r="M50" s="13">
        <v>9</v>
      </c>
      <c r="N50" s="20">
        <v>116001</v>
      </c>
      <c r="O50" s="46"/>
      <c r="P50" t="s">
        <v>590</v>
      </c>
    </row>
    <row r="51" spans="1:16" hidden="1" x14ac:dyDescent="0.25">
      <c r="A51" s="44">
        <v>44470</v>
      </c>
      <c r="B51" s="12">
        <v>3</v>
      </c>
      <c r="C51" s="12">
        <v>33</v>
      </c>
      <c r="D51" s="12" t="s">
        <v>573</v>
      </c>
      <c r="E51" s="12" t="s">
        <v>296</v>
      </c>
      <c r="F51" s="12" t="s">
        <v>297</v>
      </c>
      <c r="G51" s="12">
        <v>115880</v>
      </c>
      <c r="H51" s="45">
        <v>44482</v>
      </c>
      <c r="I51" s="13">
        <v>0</v>
      </c>
      <c r="J51" s="13">
        <v>100000</v>
      </c>
      <c r="K51" s="13">
        <v>0</v>
      </c>
      <c r="L51" s="13">
        <v>19000</v>
      </c>
      <c r="M51" s="13">
        <v>9</v>
      </c>
      <c r="N51" s="13">
        <v>119000</v>
      </c>
      <c r="O51" s="46"/>
      <c r="P51" t="s">
        <v>706</v>
      </c>
    </row>
    <row r="52" spans="1:16" hidden="1" x14ac:dyDescent="0.25">
      <c r="A52" s="44">
        <v>44470</v>
      </c>
      <c r="B52" s="12">
        <v>4</v>
      </c>
      <c r="C52" s="12">
        <v>33</v>
      </c>
      <c r="D52" s="12" t="s">
        <v>573</v>
      </c>
      <c r="E52" s="12" t="s">
        <v>296</v>
      </c>
      <c r="F52" s="12" t="s">
        <v>297</v>
      </c>
      <c r="G52" s="12">
        <v>115881</v>
      </c>
      <c r="H52" s="45">
        <v>44482</v>
      </c>
      <c r="I52" s="13">
        <v>0</v>
      </c>
      <c r="J52" s="13">
        <v>550000</v>
      </c>
      <c r="K52" s="13">
        <v>0</v>
      </c>
      <c r="L52" s="13">
        <v>104500</v>
      </c>
      <c r="M52" s="13">
        <v>9</v>
      </c>
      <c r="N52" s="13">
        <v>654500</v>
      </c>
      <c r="O52" s="46"/>
      <c r="P52" t="s">
        <v>706</v>
      </c>
    </row>
    <row r="53" spans="1:16" hidden="1" x14ac:dyDescent="0.25">
      <c r="A53" s="44">
        <v>44470</v>
      </c>
      <c r="B53" s="12">
        <v>5</v>
      </c>
      <c r="C53" s="12">
        <v>33</v>
      </c>
      <c r="D53" s="12" t="s">
        <v>573</v>
      </c>
      <c r="E53" s="12" t="s">
        <v>296</v>
      </c>
      <c r="F53" s="12" t="s">
        <v>297</v>
      </c>
      <c r="G53" s="12">
        <v>115882</v>
      </c>
      <c r="H53" s="45">
        <v>44482</v>
      </c>
      <c r="I53" s="13">
        <v>0</v>
      </c>
      <c r="J53" s="13">
        <v>540000</v>
      </c>
      <c r="K53" s="13">
        <v>0</v>
      </c>
      <c r="L53" s="13">
        <v>102600</v>
      </c>
      <c r="M53" s="13">
        <v>9</v>
      </c>
      <c r="N53" s="13">
        <v>642600</v>
      </c>
      <c r="O53" s="46"/>
      <c r="P53" t="s">
        <v>706</v>
      </c>
    </row>
    <row r="54" spans="1:16" hidden="1" x14ac:dyDescent="0.25">
      <c r="A54" s="44">
        <v>44470</v>
      </c>
      <c r="B54" s="12">
        <v>6</v>
      </c>
      <c r="C54" s="12">
        <v>34</v>
      </c>
      <c r="D54" s="12" t="s">
        <v>578</v>
      </c>
      <c r="E54" s="12" t="s">
        <v>607</v>
      </c>
      <c r="F54" s="12" t="s">
        <v>608</v>
      </c>
      <c r="G54" s="12">
        <v>3</v>
      </c>
      <c r="H54" s="45">
        <v>44481</v>
      </c>
      <c r="I54" s="13">
        <v>372760</v>
      </c>
      <c r="J54" s="13">
        <v>0</v>
      </c>
      <c r="K54" s="13">
        <v>0</v>
      </c>
      <c r="L54" s="13">
        <v>0</v>
      </c>
      <c r="M54" s="13">
        <v>0</v>
      </c>
      <c r="N54" s="20">
        <v>372760</v>
      </c>
      <c r="O54" s="46" t="s">
        <v>609</v>
      </c>
      <c r="P54" t="s">
        <v>590</v>
      </c>
    </row>
    <row r="55" spans="1:16" hidden="1" x14ac:dyDescent="0.25">
      <c r="A55" s="44">
        <v>44501</v>
      </c>
      <c r="B55" s="12">
        <v>1</v>
      </c>
      <c r="C55" s="12">
        <v>33</v>
      </c>
      <c r="D55" s="12" t="s">
        <v>573</v>
      </c>
      <c r="E55" s="12" t="s">
        <v>369</v>
      </c>
      <c r="F55" s="12" t="s">
        <v>606</v>
      </c>
      <c r="G55" s="12">
        <v>18</v>
      </c>
      <c r="H55" s="45">
        <v>44517</v>
      </c>
      <c r="I55" s="13">
        <v>0</v>
      </c>
      <c r="J55" s="13">
        <v>3925000</v>
      </c>
      <c r="K55" s="13">
        <v>0</v>
      </c>
      <c r="L55" s="13">
        <v>745750</v>
      </c>
      <c r="M55" s="13">
        <v>9</v>
      </c>
      <c r="N55" s="20">
        <v>4670750</v>
      </c>
      <c r="O55" s="46"/>
      <c r="P55" t="s">
        <v>590</v>
      </c>
    </row>
    <row r="56" spans="1:16" hidden="1" x14ac:dyDescent="0.25">
      <c r="A56" s="44">
        <v>44531</v>
      </c>
      <c r="B56" s="12">
        <v>1</v>
      </c>
      <c r="C56" s="12">
        <v>33</v>
      </c>
      <c r="D56" s="12" t="s">
        <v>573</v>
      </c>
      <c r="E56" s="12" t="s">
        <v>602</v>
      </c>
      <c r="F56" s="12" t="s">
        <v>603</v>
      </c>
      <c r="G56" s="12">
        <v>688</v>
      </c>
      <c r="H56" s="45">
        <v>44522</v>
      </c>
      <c r="I56" s="13">
        <v>0</v>
      </c>
      <c r="J56" s="13">
        <v>218000</v>
      </c>
      <c r="K56" s="13">
        <v>0</v>
      </c>
      <c r="L56" s="13">
        <v>41420</v>
      </c>
      <c r="M56" s="13">
        <v>9</v>
      </c>
      <c r="N56" s="20">
        <v>259420</v>
      </c>
      <c r="O56" s="46"/>
      <c r="P56" s="60" t="s">
        <v>590</v>
      </c>
    </row>
    <row r="58" spans="1:16" x14ac:dyDescent="0.25">
      <c r="F58" s="48" t="s">
        <v>610</v>
      </c>
      <c r="G58" s="48"/>
      <c r="H58" s="48"/>
      <c r="I58" s="42">
        <f>+SUM(I3:I56)</f>
        <v>2007190</v>
      </c>
      <c r="J58" s="42">
        <f>+SUM(J3:J56)</f>
        <v>19046005</v>
      </c>
      <c r="K58" s="42">
        <f>+SUM(K3:K56)</f>
        <v>1755</v>
      </c>
      <c r="L58" s="42">
        <f>+SUM(L3:L56)</f>
        <v>3616988</v>
      </c>
      <c r="M58" s="48"/>
      <c r="N58" s="42">
        <f>+SUM(N3:N56)</f>
        <v>24671938</v>
      </c>
    </row>
  </sheetData>
  <autoFilter ref="A2:P56" xr:uid="{00000000-0001-0000-0000-000000000000}">
    <filterColumn colId="15">
      <filters>
        <filter val="Sin Cartola"/>
      </filters>
    </filterColumn>
  </autoFilter>
  <pageMargins left="0.7" right="0.7" top="0.75" bottom="0.75" header="0.3" footer="0.3"/>
  <pageSetup orientation="portrait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D3A40-667E-4459-80B2-83C9615E81ED}">
  <sheetPr>
    <tabColor theme="9"/>
  </sheetPr>
  <dimension ref="A1:V49"/>
  <sheetViews>
    <sheetView topLeftCell="H1" zoomScale="60" zoomScaleNormal="60" workbookViewId="0">
      <selection activeCell="I2" sqref="I2:I47"/>
    </sheetView>
  </sheetViews>
  <sheetFormatPr defaultRowHeight="15" x14ac:dyDescent="0.25"/>
  <cols>
    <col min="1" max="1" width="4.140625" customWidth="1"/>
    <col min="2" max="2" width="8.28515625" bestFit="1" customWidth="1"/>
    <col min="3" max="3" width="12" bestFit="1" customWidth="1"/>
    <col min="4" max="4" width="12.42578125" bestFit="1" customWidth="1"/>
    <col min="5" max="5" width="50.42578125" bestFit="1" customWidth="1"/>
    <col min="6" max="6" width="19.140625" bestFit="1" customWidth="1"/>
    <col min="7" max="7" width="12.7109375" bestFit="1" customWidth="1"/>
    <col min="8" max="8" width="39.42578125" bestFit="1" customWidth="1"/>
    <col min="9" max="9" width="50" bestFit="1" customWidth="1"/>
    <col min="10" max="10" width="10.85546875" bestFit="1" customWidth="1"/>
    <col min="11" max="11" width="12.140625" bestFit="1" customWidth="1"/>
    <col min="12" max="12" width="14.42578125" bestFit="1" customWidth="1"/>
    <col min="13" max="13" width="24.140625" bestFit="1" customWidth="1"/>
    <col min="14" max="14" width="12.42578125" customWidth="1"/>
    <col min="15" max="15" width="11.28515625" bestFit="1" customWidth="1"/>
    <col min="16" max="16" width="13.140625" customWidth="1"/>
    <col min="17" max="17" width="10.42578125" customWidth="1"/>
    <col min="19" max="19" width="22.140625" bestFit="1" customWidth="1"/>
    <col min="20" max="20" width="19.7109375" bestFit="1" customWidth="1"/>
  </cols>
  <sheetData>
    <row r="1" spans="1:22" ht="33.75" x14ac:dyDescent="0.25">
      <c r="A1" s="37" t="s">
        <v>385</v>
      </c>
      <c r="B1" s="37" t="s">
        <v>386</v>
      </c>
      <c r="C1" s="37" t="s">
        <v>15</v>
      </c>
      <c r="D1" s="37" t="s">
        <v>387</v>
      </c>
      <c r="E1" s="37" t="s">
        <v>388</v>
      </c>
      <c r="F1" s="37" t="s">
        <v>389</v>
      </c>
      <c r="G1" s="37" t="s">
        <v>390</v>
      </c>
      <c r="H1" s="37" t="s">
        <v>391</v>
      </c>
      <c r="I1" s="37" t="s">
        <v>392</v>
      </c>
      <c r="J1" s="37" t="s">
        <v>393</v>
      </c>
      <c r="K1" s="37" t="s">
        <v>394</v>
      </c>
      <c r="L1" s="37" t="s">
        <v>395</v>
      </c>
      <c r="M1" s="37" t="s">
        <v>396</v>
      </c>
      <c r="N1" s="37" t="s">
        <v>394</v>
      </c>
      <c r="O1" s="37" t="s">
        <v>397</v>
      </c>
      <c r="P1" s="37" t="s">
        <v>398</v>
      </c>
      <c r="Q1" s="37" t="s">
        <v>399</v>
      </c>
    </row>
    <row r="2" spans="1:22" x14ac:dyDescent="0.25">
      <c r="A2" s="12">
        <v>1</v>
      </c>
      <c r="B2" s="38" t="s">
        <v>400</v>
      </c>
      <c r="C2" s="39">
        <v>44246</v>
      </c>
      <c r="D2" s="40" t="str">
        <f t="shared" ref="D2:D45" si="0">+TEXT(C2,"MMMM")</f>
        <v>Febrero</v>
      </c>
      <c r="E2" s="40" t="s">
        <v>401</v>
      </c>
      <c r="F2" s="40" t="s">
        <v>402</v>
      </c>
      <c r="G2" s="40" t="s">
        <v>403</v>
      </c>
      <c r="H2" s="40" t="s">
        <v>404</v>
      </c>
      <c r="I2" s="40" t="s">
        <v>405</v>
      </c>
      <c r="J2" s="40">
        <v>1182558</v>
      </c>
      <c r="K2" s="40" t="s">
        <v>406</v>
      </c>
      <c r="L2" s="41">
        <v>85000</v>
      </c>
      <c r="M2" s="40" t="s">
        <v>407</v>
      </c>
      <c r="N2" s="40" t="s">
        <v>408</v>
      </c>
      <c r="O2" s="40" t="s">
        <v>409</v>
      </c>
      <c r="P2" s="40" t="s">
        <v>410</v>
      </c>
      <c r="Q2" s="40" t="s">
        <v>411</v>
      </c>
      <c r="S2" s="71" t="s">
        <v>567</v>
      </c>
      <c r="T2" t="s">
        <v>696</v>
      </c>
      <c r="V2" t="s">
        <v>697</v>
      </c>
    </row>
    <row r="3" spans="1:22" x14ac:dyDescent="0.25">
      <c r="A3" s="12">
        <v>2</v>
      </c>
      <c r="B3" s="38" t="s">
        <v>412</v>
      </c>
      <c r="C3" s="39">
        <v>44250</v>
      </c>
      <c r="D3" s="40" t="str">
        <f t="shared" si="0"/>
        <v>Febrero</v>
      </c>
      <c r="E3" s="40" t="s">
        <v>413</v>
      </c>
      <c r="F3" s="40" t="s">
        <v>413</v>
      </c>
      <c r="G3" s="40"/>
      <c r="H3" s="40" t="s">
        <v>414</v>
      </c>
      <c r="I3" s="40" t="s">
        <v>415</v>
      </c>
      <c r="J3" s="40" t="s">
        <v>416</v>
      </c>
      <c r="K3" s="40" t="s">
        <v>406</v>
      </c>
      <c r="L3" s="41">
        <v>34500</v>
      </c>
      <c r="M3" s="40" t="s">
        <v>417</v>
      </c>
      <c r="N3" s="40" t="s">
        <v>408</v>
      </c>
      <c r="O3" s="40" t="s">
        <v>409</v>
      </c>
      <c r="P3" s="40" t="s">
        <v>410</v>
      </c>
      <c r="Q3" s="40" t="s">
        <v>411</v>
      </c>
      <c r="S3" s="47" t="s">
        <v>688</v>
      </c>
      <c r="T3" s="73">
        <v>119500</v>
      </c>
      <c r="V3" t="s">
        <v>698</v>
      </c>
    </row>
    <row r="4" spans="1:22" x14ac:dyDescent="0.25">
      <c r="A4" s="12">
        <v>3</v>
      </c>
      <c r="B4" s="38" t="s">
        <v>418</v>
      </c>
      <c r="C4" s="39">
        <v>44292</v>
      </c>
      <c r="D4" s="40" t="str">
        <f t="shared" si="0"/>
        <v>Abril</v>
      </c>
      <c r="E4" s="40" t="s">
        <v>419</v>
      </c>
      <c r="F4" s="40" t="s">
        <v>402</v>
      </c>
      <c r="G4" s="40" t="s">
        <v>420</v>
      </c>
      <c r="H4" s="40" t="s">
        <v>421</v>
      </c>
      <c r="I4" s="40" t="s">
        <v>422</v>
      </c>
      <c r="J4" s="40">
        <v>214934</v>
      </c>
      <c r="K4" s="40" t="s">
        <v>406</v>
      </c>
      <c r="L4" s="41">
        <v>40000</v>
      </c>
      <c r="M4" s="40" t="s">
        <v>407</v>
      </c>
      <c r="N4" s="40" t="s">
        <v>408</v>
      </c>
      <c r="O4" s="40" t="s">
        <v>409</v>
      </c>
      <c r="P4" s="40" t="s">
        <v>410</v>
      </c>
      <c r="Q4" s="40" t="s">
        <v>411</v>
      </c>
      <c r="S4" s="72" t="s">
        <v>413</v>
      </c>
      <c r="T4" s="10">
        <v>34500</v>
      </c>
      <c r="V4" t="s">
        <v>699</v>
      </c>
    </row>
    <row r="5" spans="1:22" x14ac:dyDescent="0.25">
      <c r="A5" s="12">
        <v>4</v>
      </c>
      <c r="B5" s="38" t="s">
        <v>423</v>
      </c>
      <c r="C5" s="39">
        <v>44300</v>
      </c>
      <c r="D5" s="40" t="str">
        <f t="shared" si="0"/>
        <v>Abril</v>
      </c>
      <c r="E5" s="40" t="s">
        <v>424</v>
      </c>
      <c r="F5" s="40" t="s">
        <v>402</v>
      </c>
      <c r="G5" s="40" t="s">
        <v>420</v>
      </c>
      <c r="H5" s="40" t="s">
        <v>421</v>
      </c>
      <c r="I5" s="40" t="s">
        <v>422</v>
      </c>
      <c r="J5" s="40">
        <v>215958</v>
      </c>
      <c r="K5" s="40" t="s">
        <v>406</v>
      </c>
      <c r="L5" s="41">
        <v>90000</v>
      </c>
      <c r="M5" s="40" t="s">
        <v>407</v>
      </c>
      <c r="N5" s="40" t="s">
        <v>408</v>
      </c>
      <c r="O5" s="40" t="s">
        <v>409</v>
      </c>
      <c r="P5" s="40" t="s">
        <v>410</v>
      </c>
      <c r="Q5" s="40" t="s">
        <v>411</v>
      </c>
      <c r="S5" s="72" t="s">
        <v>402</v>
      </c>
      <c r="T5" s="10">
        <v>85000</v>
      </c>
      <c r="V5" t="s">
        <v>700</v>
      </c>
    </row>
    <row r="6" spans="1:22" x14ac:dyDescent="0.25">
      <c r="A6" s="12">
        <v>5</v>
      </c>
      <c r="B6" s="38" t="s">
        <v>425</v>
      </c>
      <c r="C6" s="39">
        <v>44300</v>
      </c>
      <c r="D6" s="40" t="str">
        <f t="shared" si="0"/>
        <v>Abril</v>
      </c>
      <c r="E6" s="40" t="s">
        <v>426</v>
      </c>
      <c r="F6" s="40" t="s">
        <v>402</v>
      </c>
      <c r="G6" s="40" t="s">
        <v>420</v>
      </c>
      <c r="H6" s="40" t="s">
        <v>421</v>
      </c>
      <c r="I6" s="40" t="s">
        <v>422</v>
      </c>
      <c r="J6" s="40">
        <v>215959</v>
      </c>
      <c r="K6" s="40" t="s">
        <v>406</v>
      </c>
      <c r="L6" s="41">
        <v>40000</v>
      </c>
      <c r="M6" s="40" t="s">
        <v>407</v>
      </c>
      <c r="N6" s="40" t="s">
        <v>408</v>
      </c>
      <c r="O6" s="40" t="s">
        <v>409</v>
      </c>
      <c r="P6" s="40" t="s">
        <v>410</v>
      </c>
      <c r="Q6" s="40" t="s">
        <v>411</v>
      </c>
      <c r="S6" s="47" t="s">
        <v>689</v>
      </c>
      <c r="T6" s="73">
        <v>170000</v>
      </c>
      <c r="V6" t="s">
        <v>701</v>
      </c>
    </row>
    <row r="7" spans="1:22" x14ac:dyDescent="0.25">
      <c r="A7" s="12">
        <v>7</v>
      </c>
      <c r="B7" s="38" t="s">
        <v>433</v>
      </c>
      <c r="C7" s="39">
        <v>44329</v>
      </c>
      <c r="D7" s="40" t="str">
        <f t="shared" si="0"/>
        <v>Mayo</v>
      </c>
      <c r="E7" s="40" t="s">
        <v>434</v>
      </c>
      <c r="F7" s="40" t="s">
        <v>435</v>
      </c>
      <c r="G7" s="40" t="s">
        <v>436</v>
      </c>
      <c r="H7" s="40" t="s">
        <v>437</v>
      </c>
      <c r="I7" s="40" t="s">
        <v>438</v>
      </c>
      <c r="J7" s="40" t="s">
        <v>416</v>
      </c>
      <c r="K7" s="40" t="s">
        <v>406</v>
      </c>
      <c r="L7" s="41">
        <v>600</v>
      </c>
      <c r="M7" s="40" t="s">
        <v>417</v>
      </c>
      <c r="N7" s="40" t="s">
        <v>408</v>
      </c>
      <c r="O7" s="40" t="s">
        <v>409</v>
      </c>
      <c r="P7" s="40" t="s">
        <v>410</v>
      </c>
      <c r="Q7" s="40" t="s">
        <v>411</v>
      </c>
      <c r="S7" s="72" t="s">
        <v>402</v>
      </c>
      <c r="T7" s="10">
        <v>170000</v>
      </c>
      <c r="V7" t="s">
        <v>702</v>
      </c>
    </row>
    <row r="8" spans="1:22" x14ac:dyDescent="0.25">
      <c r="A8" s="12">
        <v>9</v>
      </c>
      <c r="B8" s="38" t="s">
        <v>444</v>
      </c>
      <c r="C8" s="39">
        <v>44328</v>
      </c>
      <c r="D8" s="40" t="str">
        <f t="shared" si="0"/>
        <v>Mayo</v>
      </c>
      <c r="E8" s="40" t="s">
        <v>434</v>
      </c>
      <c r="F8" s="40" t="s">
        <v>435</v>
      </c>
      <c r="G8" s="40" t="s">
        <v>445</v>
      </c>
      <c r="H8" s="40" t="s">
        <v>446</v>
      </c>
      <c r="I8" s="40" t="s">
        <v>438</v>
      </c>
      <c r="J8" s="40" t="s">
        <v>416</v>
      </c>
      <c r="K8" s="40" t="s">
        <v>406</v>
      </c>
      <c r="L8" s="41">
        <v>2800</v>
      </c>
      <c r="M8" s="40" t="s">
        <v>417</v>
      </c>
      <c r="N8" s="40" t="s">
        <v>408</v>
      </c>
      <c r="O8" s="40" t="s">
        <v>409</v>
      </c>
      <c r="P8" s="40" t="s">
        <v>410</v>
      </c>
      <c r="Q8" s="40" t="s">
        <v>411</v>
      </c>
      <c r="S8" s="47" t="s">
        <v>690</v>
      </c>
      <c r="T8" s="73">
        <v>200945</v>
      </c>
    </row>
    <row r="9" spans="1:22" x14ac:dyDescent="0.25">
      <c r="A9" s="12">
        <v>10</v>
      </c>
      <c r="B9" s="38" t="s">
        <v>447</v>
      </c>
      <c r="C9" s="39">
        <v>44329</v>
      </c>
      <c r="D9" s="40" t="str">
        <f t="shared" si="0"/>
        <v>Mayo</v>
      </c>
      <c r="E9" s="40" t="s">
        <v>434</v>
      </c>
      <c r="F9" s="40" t="s">
        <v>435</v>
      </c>
      <c r="G9" s="40" t="s">
        <v>448</v>
      </c>
      <c r="H9" s="40" t="s">
        <v>449</v>
      </c>
      <c r="I9" s="40" t="s">
        <v>438</v>
      </c>
      <c r="J9" s="40" t="s">
        <v>416</v>
      </c>
      <c r="K9" s="40" t="s">
        <v>406</v>
      </c>
      <c r="L9" s="41">
        <v>2700</v>
      </c>
      <c r="M9" s="40" t="s">
        <v>417</v>
      </c>
      <c r="N9" s="40" t="s">
        <v>408</v>
      </c>
      <c r="O9" s="40" t="s">
        <v>409</v>
      </c>
      <c r="P9" s="40" t="s">
        <v>410</v>
      </c>
      <c r="Q9" s="40" t="s">
        <v>411</v>
      </c>
      <c r="S9" s="72" t="s">
        <v>458</v>
      </c>
      <c r="T9" s="10">
        <v>4500</v>
      </c>
    </row>
    <row r="10" spans="1:22" x14ac:dyDescent="0.25">
      <c r="A10" s="12">
        <v>11</v>
      </c>
      <c r="B10" s="38" t="s">
        <v>450</v>
      </c>
      <c r="C10" s="39">
        <v>44328</v>
      </c>
      <c r="D10" s="40" t="str">
        <f t="shared" si="0"/>
        <v>Mayo</v>
      </c>
      <c r="E10" s="40" t="s">
        <v>451</v>
      </c>
      <c r="F10" s="40" t="s">
        <v>452</v>
      </c>
      <c r="G10" s="40" t="s">
        <v>453</v>
      </c>
      <c r="H10" s="40" t="s">
        <v>454</v>
      </c>
      <c r="I10" s="40" t="s">
        <v>455</v>
      </c>
      <c r="J10" s="40">
        <v>84844</v>
      </c>
      <c r="K10" s="40" t="s">
        <v>406</v>
      </c>
      <c r="L10" s="41">
        <v>345</v>
      </c>
      <c r="M10" s="40" t="s">
        <v>443</v>
      </c>
      <c r="N10" s="40" t="s">
        <v>408</v>
      </c>
      <c r="O10" s="40" t="s">
        <v>409</v>
      </c>
      <c r="P10" s="40" t="s">
        <v>410</v>
      </c>
      <c r="Q10" s="40" t="s">
        <v>411</v>
      </c>
      <c r="S10" s="72" t="s">
        <v>482</v>
      </c>
      <c r="T10" s="10">
        <v>11580</v>
      </c>
    </row>
    <row r="11" spans="1:22" x14ac:dyDescent="0.25">
      <c r="A11" s="12">
        <v>12</v>
      </c>
      <c r="B11" s="38" t="s">
        <v>456</v>
      </c>
      <c r="C11" s="39">
        <v>44327</v>
      </c>
      <c r="D11" s="40" t="str">
        <f t="shared" si="0"/>
        <v>Mayo</v>
      </c>
      <c r="E11" s="40" t="s">
        <v>457</v>
      </c>
      <c r="F11" s="40" t="s">
        <v>458</v>
      </c>
      <c r="G11" s="40"/>
      <c r="H11" s="40" t="s">
        <v>459</v>
      </c>
      <c r="I11" s="40" t="s">
        <v>460</v>
      </c>
      <c r="J11" s="40" t="s">
        <v>416</v>
      </c>
      <c r="K11" s="40" t="s">
        <v>406</v>
      </c>
      <c r="L11" s="41">
        <v>4500</v>
      </c>
      <c r="M11" s="40" t="s">
        <v>417</v>
      </c>
      <c r="N11" s="40" t="s">
        <v>408</v>
      </c>
      <c r="O11" s="40" t="s">
        <v>409</v>
      </c>
      <c r="P11" s="40" t="s">
        <v>410</v>
      </c>
      <c r="Q11" s="40" t="s">
        <v>411</v>
      </c>
      <c r="S11" s="72" t="s">
        <v>452</v>
      </c>
      <c r="T11" s="10">
        <v>2865</v>
      </c>
    </row>
    <row r="12" spans="1:22" x14ac:dyDescent="0.25">
      <c r="A12" s="12">
        <v>13</v>
      </c>
      <c r="B12" s="38" t="s">
        <v>461</v>
      </c>
      <c r="C12" s="39">
        <v>44328</v>
      </c>
      <c r="D12" s="40" t="str">
        <f t="shared" si="0"/>
        <v>Mayo</v>
      </c>
      <c r="E12" s="40" t="s">
        <v>434</v>
      </c>
      <c r="F12" s="40" t="s">
        <v>435</v>
      </c>
      <c r="G12" s="40" t="s">
        <v>462</v>
      </c>
      <c r="H12" s="40" t="s">
        <v>463</v>
      </c>
      <c r="I12" s="40" t="s">
        <v>438</v>
      </c>
      <c r="J12" s="40" t="s">
        <v>416</v>
      </c>
      <c r="K12" s="40" t="s">
        <v>406</v>
      </c>
      <c r="L12" s="41">
        <v>700</v>
      </c>
      <c r="M12" s="40" t="s">
        <v>417</v>
      </c>
      <c r="N12" s="40" t="s">
        <v>408</v>
      </c>
      <c r="O12" s="40" t="s">
        <v>409</v>
      </c>
      <c r="P12" s="40" t="s">
        <v>410</v>
      </c>
      <c r="Q12" s="40" t="s">
        <v>411</v>
      </c>
      <c r="S12" s="72" t="s">
        <v>402</v>
      </c>
      <c r="T12" s="10">
        <v>130000</v>
      </c>
    </row>
    <row r="13" spans="1:22" x14ac:dyDescent="0.25">
      <c r="A13" s="12">
        <v>15</v>
      </c>
      <c r="B13" s="38" t="s">
        <v>467</v>
      </c>
      <c r="C13" s="39">
        <v>44327</v>
      </c>
      <c r="D13" s="40" t="str">
        <f t="shared" si="0"/>
        <v>Mayo</v>
      </c>
      <c r="E13" s="40" t="s">
        <v>434</v>
      </c>
      <c r="F13" s="40" t="s">
        <v>435</v>
      </c>
      <c r="G13" s="40" t="s">
        <v>445</v>
      </c>
      <c r="H13" s="40" t="s">
        <v>446</v>
      </c>
      <c r="I13" s="40" t="s">
        <v>438</v>
      </c>
      <c r="J13" s="40" t="s">
        <v>416</v>
      </c>
      <c r="K13" s="40" t="s">
        <v>406</v>
      </c>
      <c r="L13" s="41">
        <v>2800</v>
      </c>
      <c r="M13" s="40" t="s">
        <v>417</v>
      </c>
      <c r="N13" s="40" t="s">
        <v>408</v>
      </c>
      <c r="O13" s="40" t="s">
        <v>409</v>
      </c>
      <c r="P13" s="40" t="s">
        <v>410</v>
      </c>
      <c r="Q13" s="40" t="s">
        <v>411</v>
      </c>
      <c r="S13" s="72" t="s">
        <v>435</v>
      </c>
      <c r="T13" s="10">
        <v>52000</v>
      </c>
    </row>
    <row r="14" spans="1:22" x14ac:dyDescent="0.25">
      <c r="A14" s="12">
        <v>16</v>
      </c>
      <c r="B14" s="38" t="s">
        <v>468</v>
      </c>
      <c r="C14" s="39">
        <v>44327</v>
      </c>
      <c r="D14" s="40" t="str">
        <f t="shared" si="0"/>
        <v>Mayo</v>
      </c>
      <c r="E14" s="40" t="s">
        <v>434</v>
      </c>
      <c r="F14" s="40" t="s">
        <v>435</v>
      </c>
      <c r="G14" s="40" t="s">
        <v>462</v>
      </c>
      <c r="H14" s="40" t="s">
        <v>463</v>
      </c>
      <c r="I14" s="40" t="s">
        <v>438</v>
      </c>
      <c r="J14" s="40" t="s">
        <v>416</v>
      </c>
      <c r="K14" s="40" t="s">
        <v>406</v>
      </c>
      <c r="L14" s="41">
        <v>700</v>
      </c>
      <c r="M14" s="40" t="s">
        <v>417</v>
      </c>
      <c r="N14" s="40" t="s">
        <v>408</v>
      </c>
      <c r="O14" s="40" t="s">
        <v>409</v>
      </c>
      <c r="P14" s="40" t="s">
        <v>410</v>
      </c>
      <c r="Q14" s="40" t="s">
        <v>411</v>
      </c>
      <c r="S14" s="47" t="s">
        <v>691</v>
      </c>
      <c r="T14" s="73">
        <v>40000</v>
      </c>
    </row>
    <row r="15" spans="1:22" x14ac:dyDescent="0.25">
      <c r="A15" s="12">
        <v>17</v>
      </c>
      <c r="B15" s="38" t="s">
        <v>469</v>
      </c>
      <c r="C15" s="39">
        <v>44327</v>
      </c>
      <c r="D15" s="40" t="str">
        <f t="shared" si="0"/>
        <v>Mayo</v>
      </c>
      <c r="E15" s="40" t="s">
        <v>434</v>
      </c>
      <c r="F15" s="40" t="s">
        <v>435</v>
      </c>
      <c r="G15" s="40" t="s">
        <v>445</v>
      </c>
      <c r="H15" s="40" t="s">
        <v>446</v>
      </c>
      <c r="I15" s="40" t="s">
        <v>438</v>
      </c>
      <c r="J15" s="40" t="s">
        <v>416</v>
      </c>
      <c r="K15" s="40" t="s">
        <v>406</v>
      </c>
      <c r="L15" s="41">
        <v>2800</v>
      </c>
      <c r="M15" s="40" t="s">
        <v>417</v>
      </c>
      <c r="N15" s="40" t="s">
        <v>408</v>
      </c>
      <c r="O15" s="40" t="s">
        <v>409</v>
      </c>
      <c r="P15" s="40" t="s">
        <v>410</v>
      </c>
      <c r="Q15" s="40" t="s">
        <v>411</v>
      </c>
      <c r="S15" s="72" t="s">
        <v>402</v>
      </c>
      <c r="T15" s="10">
        <v>40000</v>
      </c>
    </row>
    <row r="16" spans="1:22" x14ac:dyDescent="0.25">
      <c r="A16" s="12">
        <v>18</v>
      </c>
      <c r="B16" s="38" t="s">
        <v>470</v>
      </c>
      <c r="C16" s="39">
        <v>44326</v>
      </c>
      <c r="D16" s="40" t="str">
        <f t="shared" si="0"/>
        <v>Mayo</v>
      </c>
      <c r="E16" s="40" t="s">
        <v>434</v>
      </c>
      <c r="F16" s="40" t="s">
        <v>435</v>
      </c>
      <c r="G16" s="40" t="s">
        <v>471</v>
      </c>
      <c r="H16" s="40" t="s">
        <v>472</v>
      </c>
      <c r="I16" s="40" t="s">
        <v>438</v>
      </c>
      <c r="J16" s="40" t="s">
        <v>416</v>
      </c>
      <c r="K16" s="40" t="s">
        <v>406</v>
      </c>
      <c r="L16" s="41">
        <v>2800</v>
      </c>
      <c r="M16" s="40" t="s">
        <v>417</v>
      </c>
      <c r="N16" s="40" t="s">
        <v>408</v>
      </c>
      <c r="O16" s="40" t="s">
        <v>409</v>
      </c>
      <c r="P16" s="40" t="s">
        <v>410</v>
      </c>
      <c r="Q16" s="40" t="s">
        <v>411</v>
      </c>
      <c r="S16" s="47" t="s">
        <v>692</v>
      </c>
      <c r="T16" s="73">
        <v>78000</v>
      </c>
    </row>
    <row r="17" spans="1:20" x14ac:dyDescent="0.25">
      <c r="A17" s="12">
        <v>19</v>
      </c>
      <c r="B17" s="38" t="s">
        <v>473</v>
      </c>
      <c r="C17" s="39">
        <v>44327</v>
      </c>
      <c r="D17" s="40" t="str">
        <f t="shared" si="0"/>
        <v>Mayo</v>
      </c>
      <c r="E17" s="40" t="s">
        <v>434</v>
      </c>
      <c r="F17" s="40" t="s">
        <v>435</v>
      </c>
      <c r="G17" s="40" t="s">
        <v>445</v>
      </c>
      <c r="H17" s="40" t="s">
        <v>446</v>
      </c>
      <c r="I17" s="40" t="s">
        <v>438</v>
      </c>
      <c r="J17" s="40" t="s">
        <v>416</v>
      </c>
      <c r="K17" s="40" t="s">
        <v>406</v>
      </c>
      <c r="L17" s="41">
        <v>2800</v>
      </c>
      <c r="M17" s="40" t="s">
        <v>417</v>
      </c>
      <c r="N17" s="40" t="s">
        <v>408</v>
      </c>
      <c r="O17" s="40" t="s">
        <v>409</v>
      </c>
      <c r="P17" s="40" t="s">
        <v>410</v>
      </c>
      <c r="Q17" s="40" t="s">
        <v>411</v>
      </c>
      <c r="S17" s="72" t="s">
        <v>402</v>
      </c>
      <c r="T17" s="10">
        <v>78000</v>
      </c>
    </row>
    <row r="18" spans="1:20" x14ac:dyDescent="0.25">
      <c r="A18" s="12">
        <v>20</v>
      </c>
      <c r="B18" s="38" t="s">
        <v>474</v>
      </c>
      <c r="C18" s="39">
        <v>44326</v>
      </c>
      <c r="D18" s="40" t="str">
        <f t="shared" si="0"/>
        <v>Mayo</v>
      </c>
      <c r="E18" s="40" t="s">
        <v>434</v>
      </c>
      <c r="F18" s="40" t="s">
        <v>435</v>
      </c>
      <c r="G18" s="40" t="s">
        <v>448</v>
      </c>
      <c r="H18" s="40" t="s">
        <v>449</v>
      </c>
      <c r="I18" s="40" t="s">
        <v>438</v>
      </c>
      <c r="J18" s="40" t="s">
        <v>416</v>
      </c>
      <c r="K18" s="40" t="s">
        <v>406</v>
      </c>
      <c r="L18" s="41">
        <v>2700</v>
      </c>
      <c r="M18" s="40" t="s">
        <v>417</v>
      </c>
      <c r="N18" s="40" t="s">
        <v>408</v>
      </c>
      <c r="O18" s="40" t="s">
        <v>409</v>
      </c>
      <c r="P18" s="40" t="s">
        <v>410</v>
      </c>
      <c r="Q18" s="40" t="s">
        <v>411</v>
      </c>
      <c r="S18" s="47" t="s">
        <v>693</v>
      </c>
      <c r="T18" s="73">
        <v>85000</v>
      </c>
    </row>
    <row r="19" spans="1:20" x14ac:dyDescent="0.25">
      <c r="A19" s="12">
        <v>21</v>
      </c>
      <c r="B19" s="38" t="s">
        <v>475</v>
      </c>
      <c r="C19" s="39">
        <v>44327</v>
      </c>
      <c r="D19" s="40" t="str">
        <f t="shared" si="0"/>
        <v>Mayo</v>
      </c>
      <c r="E19" s="40" t="s">
        <v>434</v>
      </c>
      <c r="F19" s="40" t="s">
        <v>435</v>
      </c>
      <c r="G19" s="40" t="s">
        <v>448</v>
      </c>
      <c r="H19" s="40" t="s">
        <v>449</v>
      </c>
      <c r="I19" s="40" t="s">
        <v>438</v>
      </c>
      <c r="J19" s="40" t="s">
        <v>416</v>
      </c>
      <c r="K19" s="40" t="s">
        <v>406</v>
      </c>
      <c r="L19" s="41">
        <v>2700</v>
      </c>
      <c r="M19" s="40" t="s">
        <v>417</v>
      </c>
      <c r="N19" s="40" t="s">
        <v>408</v>
      </c>
      <c r="O19" s="40" t="s">
        <v>409</v>
      </c>
      <c r="P19" s="40" t="s">
        <v>410</v>
      </c>
      <c r="Q19" s="40" t="s">
        <v>411</v>
      </c>
      <c r="S19" s="72" t="s">
        <v>402</v>
      </c>
      <c r="T19" s="10">
        <v>85000</v>
      </c>
    </row>
    <row r="20" spans="1:20" x14ac:dyDescent="0.25">
      <c r="A20" s="12">
        <v>22</v>
      </c>
      <c r="B20" s="38" t="s">
        <v>476</v>
      </c>
      <c r="C20" s="39">
        <v>44326</v>
      </c>
      <c r="D20" s="40" t="str">
        <f t="shared" si="0"/>
        <v>Mayo</v>
      </c>
      <c r="E20" s="40" t="s">
        <v>434</v>
      </c>
      <c r="F20" s="40" t="s">
        <v>435</v>
      </c>
      <c r="G20" s="40" t="s">
        <v>477</v>
      </c>
      <c r="H20" s="40" t="s">
        <v>478</v>
      </c>
      <c r="I20" s="40" t="s">
        <v>438</v>
      </c>
      <c r="J20" s="40" t="s">
        <v>416</v>
      </c>
      <c r="K20" s="40" t="s">
        <v>406</v>
      </c>
      <c r="L20" s="41">
        <v>2600</v>
      </c>
      <c r="M20" s="40" t="s">
        <v>417</v>
      </c>
      <c r="N20" s="40" t="s">
        <v>408</v>
      </c>
      <c r="O20" s="40" t="s">
        <v>409</v>
      </c>
      <c r="P20" s="40" t="s">
        <v>410</v>
      </c>
      <c r="Q20" s="40" t="s">
        <v>411</v>
      </c>
      <c r="S20" s="47" t="s">
        <v>694</v>
      </c>
      <c r="T20" s="73">
        <v>190000</v>
      </c>
    </row>
    <row r="21" spans="1:20" x14ac:dyDescent="0.25">
      <c r="A21" s="12">
        <v>23</v>
      </c>
      <c r="B21" s="38" t="s">
        <v>479</v>
      </c>
      <c r="C21" s="39">
        <v>44328</v>
      </c>
      <c r="D21" s="40" t="str">
        <f t="shared" si="0"/>
        <v>Mayo</v>
      </c>
      <c r="E21" s="40" t="s">
        <v>434</v>
      </c>
      <c r="F21" s="40" t="s">
        <v>435</v>
      </c>
      <c r="G21" s="40" t="s">
        <v>448</v>
      </c>
      <c r="H21" s="40" t="s">
        <v>449</v>
      </c>
      <c r="I21" s="40" t="s">
        <v>438</v>
      </c>
      <c r="J21" s="40" t="s">
        <v>416</v>
      </c>
      <c r="K21" s="40" t="s">
        <v>406</v>
      </c>
      <c r="L21" s="41">
        <v>2700</v>
      </c>
      <c r="M21" s="40" t="s">
        <v>417</v>
      </c>
      <c r="N21" s="40" t="s">
        <v>408</v>
      </c>
      <c r="O21" s="40" t="s">
        <v>409</v>
      </c>
      <c r="P21" s="40" t="s">
        <v>410</v>
      </c>
      <c r="Q21" s="40" t="s">
        <v>411</v>
      </c>
      <c r="S21" s="72" t="s">
        <v>402</v>
      </c>
      <c r="T21" s="10">
        <v>190000</v>
      </c>
    </row>
    <row r="22" spans="1:20" x14ac:dyDescent="0.25">
      <c r="A22" s="12">
        <v>26</v>
      </c>
      <c r="B22" s="38" t="s">
        <v>486</v>
      </c>
      <c r="C22" s="39">
        <v>44326</v>
      </c>
      <c r="D22" s="40" t="str">
        <f t="shared" si="0"/>
        <v>Mayo</v>
      </c>
      <c r="E22" s="40" t="s">
        <v>434</v>
      </c>
      <c r="F22" s="40" t="s">
        <v>435</v>
      </c>
      <c r="G22" s="40" t="s">
        <v>436</v>
      </c>
      <c r="H22" s="40" t="s">
        <v>437</v>
      </c>
      <c r="I22" s="40" t="s">
        <v>438</v>
      </c>
      <c r="J22" s="40" t="s">
        <v>416</v>
      </c>
      <c r="K22" s="40" t="s">
        <v>406</v>
      </c>
      <c r="L22" s="41">
        <v>2300</v>
      </c>
      <c r="M22" s="40" t="s">
        <v>417</v>
      </c>
      <c r="N22" s="40" t="s">
        <v>408</v>
      </c>
      <c r="O22" s="40" t="s">
        <v>409</v>
      </c>
      <c r="P22" s="40" t="s">
        <v>410</v>
      </c>
      <c r="Q22" s="40" t="s">
        <v>411</v>
      </c>
      <c r="S22" s="47" t="s">
        <v>695</v>
      </c>
      <c r="T22" s="73">
        <v>26702</v>
      </c>
    </row>
    <row r="23" spans="1:20" x14ac:dyDescent="0.25">
      <c r="A23" s="12">
        <v>27</v>
      </c>
      <c r="B23" s="38" t="s">
        <v>487</v>
      </c>
      <c r="C23" s="39">
        <v>44326</v>
      </c>
      <c r="D23" s="40" t="str">
        <f t="shared" si="0"/>
        <v>Mayo</v>
      </c>
      <c r="E23" s="40" t="s">
        <v>434</v>
      </c>
      <c r="F23" s="40" t="s">
        <v>435</v>
      </c>
      <c r="G23" s="40" t="s">
        <v>477</v>
      </c>
      <c r="H23" s="40" t="s">
        <v>478</v>
      </c>
      <c r="I23" s="40" t="s">
        <v>438</v>
      </c>
      <c r="J23" s="40" t="s">
        <v>416</v>
      </c>
      <c r="K23" s="40" t="s">
        <v>406</v>
      </c>
      <c r="L23" s="41">
        <v>2600</v>
      </c>
      <c r="M23" s="40" t="s">
        <v>417</v>
      </c>
      <c r="N23" s="40" t="s">
        <v>408</v>
      </c>
      <c r="O23" s="40" t="s">
        <v>409</v>
      </c>
      <c r="P23" s="40" t="s">
        <v>410</v>
      </c>
      <c r="Q23" s="40" t="s">
        <v>411</v>
      </c>
      <c r="S23" s="72" t="s">
        <v>413</v>
      </c>
      <c r="T23" s="10">
        <v>16502</v>
      </c>
    </row>
    <row r="24" spans="1:20" x14ac:dyDescent="0.25">
      <c r="A24" s="12">
        <v>28</v>
      </c>
      <c r="B24" s="38" t="s">
        <v>488</v>
      </c>
      <c r="C24" s="39">
        <v>44329</v>
      </c>
      <c r="D24" s="40" t="str">
        <f t="shared" si="0"/>
        <v>Mayo</v>
      </c>
      <c r="E24" s="40" t="s">
        <v>434</v>
      </c>
      <c r="F24" s="40" t="s">
        <v>435</v>
      </c>
      <c r="G24" s="40" t="s">
        <v>436</v>
      </c>
      <c r="H24" s="40" t="s">
        <v>437</v>
      </c>
      <c r="I24" s="40" t="s">
        <v>438</v>
      </c>
      <c r="J24" s="40" t="s">
        <v>416</v>
      </c>
      <c r="K24" s="40" t="s">
        <v>406</v>
      </c>
      <c r="L24" s="41">
        <v>2300</v>
      </c>
      <c r="M24" s="40" t="s">
        <v>417</v>
      </c>
      <c r="N24" s="40" t="s">
        <v>408</v>
      </c>
      <c r="O24" s="40" t="s">
        <v>409</v>
      </c>
      <c r="P24" s="40" t="s">
        <v>410</v>
      </c>
      <c r="Q24" s="40" t="s">
        <v>411</v>
      </c>
      <c r="S24" s="72" t="s">
        <v>540</v>
      </c>
      <c r="T24" s="10">
        <v>5600</v>
      </c>
    </row>
    <row r="25" spans="1:20" x14ac:dyDescent="0.25">
      <c r="A25" s="12">
        <v>30</v>
      </c>
      <c r="B25" s="38" t="s">
        <v>491</v>
      </c>
      <c r="C25" s="39">
        <v>44329</v>
      </c>
      <c r="D25" s="40" t="str">
        <f t="shared" si="0"/>
        <v>Mayo</v>
      </c>
      <c r="E25" s="40" t="s">
        <v>434</v>
      </c>
      <c r="F25" s="40" t="s">
        <v>435</v>
      </c>
      <c r="G25" s="40" t="s">
        <v>477</v>
      </c>
      <c r="H25" s="40" t="s">
        <v>478</v>
      </c>
      <c r="I25" s="40" t="s">
        <v>438</v>
      </c>
      <c r="J25" s="40" t="s">
        <v>416</v>
      </c>
      <c r="K25" s="40" t="s">
        <v>406</v>
      </c>
      <c r="L25" s="41">
        <v>2600</v>
      </c>
      <c r="M25" s="40" t="s">
        <v>417</v>
      </c>
      <c r="N25" s="40" t="s">
        <v>408</v>
      </c>
      <c r="O25" s="40" t="s">
        <v>409</v>
      </c>
      <c r="P25" s="40" t="s">
        <v>410</v>
      </c>
      <c r="Q25" s="40" t="s">
        <v>411</v>
      </c>
      <c r="S25" s="72" t="s">
        <v>435</v>
      </c>
      <c r="T25" s="10">
        <v>4600</v>
      </c>
    </row>
    <row r="26" spans="1:20" x14ac:dyDescent="0.25">
      <c r="A26" s="12">
        <v>31</v>
      </c>
      <c r="B26" s="38" t="s">
        <v>492</v>
      </c>
      <c r="C26" s="39">
        <v>44329</v>
      </c>
      <c r="D26" s="40" t="str">
        <f t="shared" si="0"/>
        <v>Mayo</v>
      </c>
      <c r="E26" s="40" t="s">
        <v>434</v>
      </c>
      <c r="F26" s="40" t="s">
        <v>435</v>
      </c>
      <c r="G26" s="40" t="s">
        <v>436</v>
      </c>
      <c r="H26" s="40" t="s">
        <v>437</v>
      </c>
      <c r="I26" s="40" t="s">
        <v>438</v>
      </c>
      <c r="J26" s="40" t="s">
        <v>416</v>
      </c>
      <c r="K26" s="40" t="s">
        <v>406</v>
      </c>
      <c r="L26" s="41">
        <v>2300</v>
      </c>
      <c r="M26" s="40" t="s">
        <v>417</v>
      </c>
      <c r="N26" s="40" t="s">
        <v>408</v>
      </c>
      <c r="O26" s="40" t="s">
        <v>409</v>
      </c>
      <c r="P26" s="40" t="s">
        <v>410</v>
      </c>
      <c r="Q26" s="40" t="s">
        <v>411</v>
      </c>
      <c r="S26" s="47" t="s">
        <v>594</v>
      </c>
      <c r="T26" s="10">
        <v>910147</v>
      </c>
    </row>
    <row r="27" spans="1:20" x14ac:dyDescent="0.25">
      <c r="A27" s="12">
        <v>33</v>
      </c>
      <c r="B27" s="38" t="s">
        <v>494</v>
      </c>
      <c r="C27" s="39">
        <v>44326</v>
      </c>
      <c r="D27" s="40" t="str">
        <f t="shared" si="0"/>
        <v>Mayo</v>
      </c>
      <c r="E27" s="40" t="s">
        <v>451</v>
      </c>
      <c r="F27" s="40" t="s">
        <v>452</v>
      </c>
      <c r="G27" s="40"/>
      <c r="H27" s="40" t="s">
        <v>495</v>
      </c>
      <c r="I27" s="40" t="s">
        <v>455</v>
      </c>
      <c r="J27" s="40" t="s">
        <v>416</v>
      </c>
      <c r="K27" s="40" t="s">
        <v>406</v>
      </c>
      <c r="L27" s="41">
        <v>1260</v>
      </c>
      <c r="M27" s="40" t="s">
        <v>417</v>
      </c>
      <c r="N27" s="40" t="s">
        <v>408</v>
      </c>
      <c r="O27" s="40" t="s">
        <v>409</v>
      </c>
      <c r="P27" s="40" t="s">
        <v>410</v>
      </c>
      <c r="Q27" s="40" t="s">
        <v>411</v>
      </c>
    </row>
    <row r="28" spans="1:20" x14ac:dyDescent="0.25">
      <c r="A28" s="12">
        <v>34</v>
      </c>
      <c r="B28" s="38" t="s">
        <v>496</v>
      </c>
      <c r="C28" s="39">
        <v>44326</v>
      </c>
      <c r="D28" s="40" t="str">
        <f t="shared" si="0"/>
        <v>Mayo</v>
      </c>
      <c r="E28" s="40" t="s">
        <v>451</v>
      </c>
      <c r="F28" s="40" t="s">
        <v>452</v>
      </c>
      <c r="G28" s="40"/>
      <c r="H28" s="40" t="s">
        <v>495</v>
      </c>
      <c r="I28" s="40" t="s">
        <v>455</v>
      </c>
      <c r="J28" s="40" t="s">
        <v>416</v>
      </c>
      <c r="K28" s="40" t="s">
        <v>406</v>
      </c>
      <c r="L28" s="41">
        <v>1260</v>
      </c>
      <c r="M28" s="40" t="s">
        <v>417</v>
      </c>
      <c r="N28" s="40" t="s">
        <v>408</v>
      </c>
      <c r="O28" s="40" t="s">
        <v>409</v>
      </c>
      <c r="P28" s="40" t="s">
        <v>410</v>
      </c>
      <c r="Q28" s="40" t="s">
        <v>411</v>
      </c>
    </row>
    <row r="29" spans="1:20" x14ac:dyDescent="0.25">
      <c r="A29" s="12">
        <v>36</v>
      </c>
      <c r="B29" s="38" t="s">
        <v>498</v>
      </c>
      <c r="C29" s="39">
        <v>44329</v>
      </c>
      <c r="D29" s="40" t="str">
        <f t="shared" si="0"/>
        <v>Mayo</v>
      </c>
      <c r="E29" s="40" t="s">
        <v>434</v>
      </c>
      <c r="F29" s="40" t="s">
        <v>435</v>
      </c>
      <c r="G29" s="40" t="s">
        <v>477</v>
      </c>
      <c r="H29" s="40" t="s">
        <v>478</v>
      </c>
      <c r="I29" s="40" t="s">
        <v>438</v>
      </c>
      <c r="J29" s="40" t="s">
        <v>416</v>
      </c>
      <c r="K29" s="40" t="s">
        <v>406</v>
      </c>
      <c r="L29" s="41">
        <v>2600</v>
      </c>
      <c r="M29" s="40" t="s">
        <v>417</v>
      </c>
      <c r="N29" s="40" t="s">
        <v>408</v>
      </c>
      <c r="O29" s="40" t="s">
        <v>409</v>
      </c>
      <c r="P29" s="40" t="s">
        <v>410</v>
      </c>
      <c r="Q29" s="40" t="s">
        <v>411</v>
      </c>
    </row>
    <row r="30" spans="1:20" x14ac:dyDescent="0.25">
      <c r="A30" s="12">
        <v>38</v>
      </c>
      <c r="B30" s="38" t="s">
        <v>499</v>
      </c>
      <c r="C30" s="39">
        <v>44328</v>
      </c>
      <c r="D30" s="40" t="str">
        <f t="shared" si="0"/>
        <v>Mayo</v>
      </c>
      <c r="E30" s="40" t="s">
        <v>434</v>
      </c>
      <c r="F30" s="40" t="s">
        <v>435</v>
      </c>
      <c r="G30" s="40" t="s">
        <v>445</v>
      </c>
      <c r="H30" s="40" t="s">
        <v>446</v>
      </c>
      <c r="I30" s="40" t="s">
        <v>438</v>
      </c>
      <c r="J30" s="40" t="s">
        <v>416</v>
      </c>
      <c r="K30" s="40" t="s">
        <v>406</v>
      </c>
      <c r="L30" s="41">
        <v>2800</v>
      </c>
      <c r="M30" s="40" t="s">
        <v>417</v>
      </c>
      <c r="N30" s="40" t="s">
        <v>408</v>
      </c>
      <c r="O30" s="40" t="s">
        <v>409</v>
      </c>
      <c r="P30" s="40" t="s">
        <v>410</v>
      </c>
      <c r="Q30" s="40" t="s">
        <v>411</v>
      </c>
    </row>
    <row r="31" spans="1:20" x14ac:dyDescent="0.25">
      <c r="A31" s="12">
        <v>41</v>
      </c>
      <c r="B31" s="38" t="s">
        <v>503</v>
      </c>
      <c r="C31" s="39">
        <v>44329</v>
      </c>
      <c r="D31" s="40" t="str">
        <f t="shared" si="0"/>
        <v>Mayo</v>
      </c>
      <c r="E31" s="40" t="s">
        <v>481</v>
      </c>
      <c r="F31" s="40" t="s">
        <v>482</v>
      </c>
      <c r="G31" s="40" t="s">
        <v>441</v>
      </c>
      <c r="H31" s="40" t="s">
        <v>483</v>
      </c>
      <c r="I31" s="40" t="s">
        <v>484</v>
      </c>
      <c r="J31" s="40">
        <v>309213412</v>
      </c>
      <c r="K31" s="40" t="s">
        <v>406</v>
      </c>
      <c r="L31" s="41">
        <v>5150</v>
      </c>
      <c r="M31" s="40" t="s">
        <v>443</v>
      </c>
      <c r="N31" s="40" t="s">
        <v>408</v>
      </c>
      <c r="O31" s="40" t="s">
        <v>409</v>
      </c>
      <c r="P31" s="40" t="s">
        <v>410</v>
      </c>
      <c r="Q31" s="40" t="s">
        <v>411</v>
      </c>
    </row>
    <row r="32" spans="1:20" x14ac:dyDescent="0.25">
      <c r="A32" s="12">
        <v>42</v>
      </c>
      <c r="B32" s="38" t="s">
        <v>504</v>
      </c>
      <c r="C32" s="39">
        <v>44328</v>
      </c>
      <c r="D32" s="40" t="str">
        <f t="shared" si="0"/>
        <v>Mayo</v>
      </c>
      <c r="E32" s="40" t="s">
        <v>481</v>
      </c>
      <c r="F32" s="40" t="s">
        <v>482</v>
      </c>
      <c r="G32" s="40" t="s">
        <v>441</v>
      </c>
      <c r="H32" s="40" t="s">
        <v>483</v>
      </c>
      <c r="I32" s="40" t="s">
        <v>484</v>
      </c>
      <c r="J32" s="40">
        <v>309213412</v>
      </c>
      <c r="K32" s="40" t="s">
        <v>406</v>
      </c>
      <c r="L32" s="41">
        <v>650</v>
      </c>
      <c r="M32" s="40" t="s">
        <v>443</v>
      </c>
      <c r="N32" s="40" t="s">
        <v>408</v>
      </c>
      <c r="O32" s="40" t="s">
        <v>409</v>
      </c>
      <c r="P32" s="40" t="s">
        <v>410</v>
      </c>
      <c r="Q32" s="40" t="s">
        <v>411</v>
      </c>
    </row>
    <row r="33" spans="1:17" x14ac:dyDescent="0.25">
      <c r="A33" s="12">
        <v>44</v>
      </c>
      <c r="B33" s="38" t="s">
        <v>508</v>
      </c>
      <c r="C33" s="39">
        <v>44326</v>
      </c>
      <c r="D33" s="40" t="str">
        <f t="shared" si="0"/>
        <v>Mayo</v>
      </c>
      <c r="E33" s="40" t="s">
        <v>434</v>
      </c>
      <c r="F33" s="40" t="s">
        <v>435</v>
      </c>
      <c r="G33" s="40" t="s">
        <v>436</v>
      </c>
      <c r="H33" s="40" t="s">
        <v>437</v>
      </c>
      <c r="I33" s="40" t="s">
        <v>438</v>
      </c>
      <c r="J33" s="40" t="s">
        <v>416</v>
      </c>
      <c r="K33" s="40" t="s">
        <v>406</v>
      </c>
      <c r="L33" s="41">
        <v>2300</v>
      </c>
      <c r="M33" s="40" t="s">
        <v>417</v>
      </c>
      <c r="N33" s="40" t="s">
        <v>408</v>
      </c>
      <c r="O33" s="40" t="s">
        <v>409</v>
      </c>
      <c r="P33" s="40" t="s">
        <v>410</v>
      </c>
      <c r="Q33" s="40" t="s">
        <v>411</v>
      </c>
    </row>
    <row r="34" spans="1:17" x14ac:dyDescent="0.25">
      <c r="A34" s="12">
        <v>45</v>
      </c>
      <c r="B34" s="38" t="s">
        <v>509</v>
      </c>
      <c r="C34" s="39">
        <v>44329</v>
      </c>
      <c r="D34" s="40" t="str">
        <f t="shared" si="0"/>
        <v>Mayo</v>
      </c>
      <c r="E34" s="40" t="s">
        <v>434</v>
      </c>
      <c r="F34" s="40" t="s">
        <v>435</v>
      </c>
      <c r="G34" s="40" t="s">
        <v>471</v>
      </c>
      <c r="H34" s="40" t="s">
        <v>472</v>
      </c>
      <c r="I34" s="40" t="s">
        <v>438</v>
      </c>
      <c r="J34" s="40" t="s">
        <v>416</v>
      </c>
      <c r="K34" s="40" t="s">
        <v>406</v>
      </c>
      <c r="L34" s="41">
        <v>2800</v>
      </c>
      <c r="M34" s="40" t="s">
        <v>417</v>
      </c>
      <c r="N34" s="40" t="s">
        <v>408</v>
      </c>
      <c r="O34" s="40" t="s">
        <v>409</v>
      </c>
      <c r="P34" s="40" t="s">
        <v>410</v>
      </c>
      <c r="Q34" s="40" t="s">
        <v>411</v>
      </c>
    </row>
    <row r="35" spans="1:17" x14ac:dyDescent="0.25">
      <c r="A35" s="12">
        <v>46</v>
      </c>
      <c r="B35" s="38" t="s">
        <v>510</v>
      </c>
      <c r="C35" s="39">
        <v>44327</v>
      </c>
      <c r="D35" s="40" t="str">
        <f t="shared" si="0"/>
        <v>Mayo</v>
      </c>
      <c r="E35" s="40" t="s">
        <v>481</v>
      </c>
      <c r="F35" s="40" t="s">
        <v>482</v>
      </c>
      <c r="G35" s="40" t="s">
        <v>441</v>
      </c>
      <c r="H35" s="40" t="s">
        <v>483</v>
      </c>
      <c r="I35" s="40" t="s">
        <v>484</v>
      </c>
      <c r="J35" s="40">
        <v>309100024</v>
      </c>
      <c r="K35" s="40" t="s">
        <v>406</v>
      </c>
      <c r="L35" s="41">
        <v>5780</v>
      </c>
      <c r="M35" s="40" t="s">
        <v>443</v>
      </c>
      <c r="N35" s="40" t="s">
        <v>408</v>
      </c>
      <c r="O35" s="40" t="s">
        <v>409</v>
      </c>
      <c r="P35" s="40" t="s">
        <v>410</v>
      </c>
      <c r="Q35" s="40" t="s">
        <v>411</v>
      </c>
    </row>
    <row r="36" spans="1:17" x14ac:dyDescent="0.25">
      <c r="A36" s="12">
        <v>47</v>
      </c>
      <c r="B36" s="38" t="s">
        <v>511</v>
      </c>
      <c r="C36" s="39">
        <v>44341</v>
      </c>
      <c r="D36" s="40" t="str">
        <f t="shared" si="0"/>
        <v>Mayo</v>
      </c>
      <c r="E36" s="40" t="s">
        <v>424</v>
      </c>
      <c r="F36" s="40" t="s">
        <v>402</v>
      </c>
      <c r="G36" s="40" t="s">
        <v>420</v>
      </c>
      <c r="H36" s="40" t="s">
        <v>421</v>
      </c>
      <c r="I36" s="40" t="s">
        <v>422</v>
      </c>
      <c r="J36" s="40">
        <v>221077</v>
      </c>
      <c r="K36" s="40" t="s">
        <v>406</v>
      </c>
      <c r="L36" s="41">
        <v>45000</v>
      </c>
      <c r="M36" s="40" t="s">
        <v>407</v>
      </c>
      <c r="N36" s="40" t="s">
        <v>408</v>
      </c>
      <c r="O36" s="40" t="s">
        <v>409</v>
      </c>
      <c r="P36" s="40" t="s">
        <v>410</v>
      </c>
      <c r="Q36" s="40" t="s">
        <v>411</v>
      </c>
    </row>
    <row r="37" spans="1:17" x14ac:dyDescent="0.25">
      <c r="A37" s="12">
        <v>49</v>
      </c>
      <c r="B37" s="38" t="s">
        <v>514</v>
      </c>
      <c r="C37" s="39">
        <v>44336</v>
      </c>
      <c r="D37" s="40" t="str">
        <f t="shared" si="0"/>
        <v>Mayo</v>
      </c>
      <c r="E37" s="40" t="s">
        <v>428</v>
      </c>
      <c r="F37" s="40" t="s">
        <v>402</v>
      </c>
      <c r="G37" s="40" t="s">
        <v>429</v>
      </c>
      <c r="H37" s="40" t="s">
        <v>430</v>
      </c>
      <c r="I37" s="40" t="s">
        <v>431</v>
      </c>
      <c r="J37" s="40">
        <v>12942</v>
      </c>
      <c r="K37" s="40" t="s">
        <v>406</v>
      </c>
      <c r="L37" s="41">
        <v>85000</v>
      </c>
      <c r="M37" s="40" t="s">
        <v>407</v>
      </c>
      <c r="N37" s="40" t="s">
        <v>408</v>
      </c>
      <c r="O37" s="40" t="s">
        <v>409</v>
      </c>
      <c r="P37" s="40" t="s">
        <v>410</v>
      </c>
      <c r="Q37" s="40" t="s">
        <v>411</v>
      </c>
    </row>
    <row r="38" spans="1:17" x14ac:dyDescent="0.25">
      <c r="A38" s="12">
        <v>54</v>
      </c>
      <c r="B38" s="38" t="s">
        <v>519</v>
      </c>
      <c r="C38" s="39">
        <v>44376</v>
      </c>
      <c r="D38" s="40" t="str">
        <f t="shared" si="0"/>
        <v>Junio</v>
      </c>
      <c r="E38" s="40" t="s">
        <v>424</v>
      </c>
      <c r="F38" s="40" t="s">
        <v>402</v>
      </c>
      <c r="G38" s="40" t="s">
        <v>420</v>
      </c>
      <c r="H38" s="40" t="s">
        <v>421</v>
      </c>
      <c r="I38" s="40" t="s">
        <v>422</v>
      </c>
      <c r="J38" s="40">
        <v>225160</v>
      </c>
      <c r="K38" s="40" t="s">
        <v>406</v>
      </c>
      <c r="L38" s="41">
        <v>40000</v>
      </c>
      <c r="M38" s="40" t="s">
        <v>407</v>
      </c>
      <c r="N38" s="40" t="s">
        <v>408</v>
      </c>
      <c r="O38" s="40" t="s">
        <v>409</v>
      </c>
      <c r="P38" s="40" t="s">
        <v>410</v>
      </c>
      <c r="Q38" s="40" t="s">
        <v>411</v>
      </c>
    </row>
    <row r="39" spans="1:17" x14ac:dyDescent="0.25">
      <c r="A39" s="12">
        <v>56</v>
      </c>
      <c r="B39" s="38" t="s">
        <v>526</v>
      </c>
      <c r="C39" s="39">
        <v>44383</v>
      </c>
      <c r="D39" s="40" t="str">
        <f t="shared" si="0"/>
        <v>Julio</v>
      </c>
      <c r="E39" s="40" t="s">
        <v>527</v>
      </c>
      <c r="F39" s="40" t="s">
        <v>402</v>
      </c>
      <c r="G39" s="40" t="s">
        <v>429</v>
      </c>
      <c r="H39" s="40" t="s">
        <v>430</v>
      </c>
      <c r="I39" s="40" t="s">
        <v>431</v>
      </c>
      <c r="J39" s="40">
        <v>14524</v>
      </c>
      <c r="K39" s="40" t="s">
        <v>406</v>
      </c>
      <c r="L39" s="41">
        <v>8000</v>
      </c>
      <c r="M39" s="40" t="s">
        <v>407</v>
      </c>
      <c r="N39" s="40" t="s">
        <v>408</v>
      </c>
      <c r="O39" s="40" t="s">
        <v>409</v>
      </c>
      <c r="P39" s="40" t="s">
        <v>410</v>
      </c>
      <c r="Q39" s="40" t="s">
        <v>411</v>
      </c>
    </row>
    <row r="40" spans="1:17" x14ac:dyDescent="0.25">
      <c r="A40" s="12">
        <v>57</v>
      </c>
      <c r="B40" s="38" t="s">
        <v>528</v>
      </c>
      <c r="C40" s="39">
        <v>44384</v>
      </c>
      <c r="D40" s="40" t="str">
        <f t="shared" si="0"/>
        <v>Julio</v>
      </c>
      <c r="E40" s="40" t="s">
        <v>529</v>
      </c>
      <c r="F40" s="40" t="s">
        <v>402</v>
      </c>
      <c r="G40" s="40" t="s">
        <v>281</v>
      </c>
      <c r="H40" s="40" t="s">
        <v>530</v>
      </c>
      <c r="I40" s="40" t="s">
        <v>531</v>
      </c>
      <c r="J40" s="40">
        <v>4907</v>
      </c>
      <c r="K40" s="40" t="s">
        <v>406</v>
      </c>
      <c r="L40" s="41">
        <v>70000</v>
      </c>
      <c r="M40" s="40" t="s">
        <v>407</v>
      </c>
      <c r="N40" s="40" t="s">
        <v>408</v>
      </c>
      <c r="O40" s="40" t="s">
        <v>409</v>
      </c>
      <c r="P40" s="40" t="s">
        <v>410</v>
      </c>
      <c r="Q40" s="40" t="s">
        <v>411</v>
      </c>
    </row>
    <row r="41" spans="1:17" x14ac:dyDescent="0.25">
      <c r="A41" s="12">
        <v>58</v>
      </c>
      <c r="B41" s="38" t="s">
        <v>532</v>
      </c>
      <c r="C41" s="39">
        <v>44435</v>
      </c>
      <c r="D41" s="40" t="str">
        <f t="shared" si="0"/>
        <v>Agosto</v>
      </c>
      <c r="E41" s="40" t="s">
        <v>527</v>
      </c>
      <c r="F41" s="40" t="s">
        <v>402</v>
      </c>
      <c r="G41" s="40" t="s">
        <v>429</v>
      </c>
      <c r="H41" s="40" t="s">
        <v>430</v>
      </c>
      <c r="I41" s="40" t="s">
        <v>431</v>
      </c>
      <c r="J41" s="40">
        <v>16600</v>
      </c>
      <c r="K41" s="40" t="s">
        <v>406</v>
      </c>
      <c r="L41" s="41">
        <v>85000</v>
      </c>
      <c r="M41" s="40" t="s">
        <v>407</v>
      </c>
      <c r="N41" s="40" t="s">
        <v>408</v>
      </c>
      <c r="O41" s="40" t="s">
        <v>409</v>
      </c>
      <c r="P41" s="40" t="s">
        <v>410</v>
      </c>
      <c r="Q41" s="40" t="s">
        <v>411</v>
      </c>
    </row>
    <row r="42" spans="1:17" x14ac:dyDescent="0.25">
      <c r="A42" s="12">
        <v>60</v>
      </c>
      <c r="B42" s="38" t="s">
        <v>534</v>
      </c>
      <c r="C42" s="39">
        <v>44448</v>
      </c>
      <c r="D42" s="40" t="str">
        <f t="shared" si="0"/>
        <v>Septiembre</v>
      </c>
      <c r="E42" s="40" t="s">
        <v>527</v>
      </c>
      <c r="F42" s="40" t="s">
        <v>402</v>
      </c>
      <c r="G42" s="40" t="s">
        <v>429</v>
      </c>
      <c r="H42" s="40" t="s">
        <v>430</v>
      </c>
      <c r="I42" s="40" t="s">
        <v>431</v>
      </c>
      <c r="J42" s="40">
        <v>17118</v>
      </c>
      <c r="K42" s="40" t="s">
        <v>406</v>
      </c>
      <c r="L42" s="41">
        <v>190000</v>
      </c>
      <c r="M42" s="40" t="s">
        <v>407</v>
      </c>
      <c r="N42" s="40" t="s">
        <v>408</v>
      </c>
      <c r="O42" s="40" t="s">
        <v>409</v>
      </c>
      <c r="P42" s="40" t="s">
        <v>410</v>
      </c>
      <c r="Q42" s="40" t="s">
        <v>411</v>
      </c>
    </row>
    <row r="43" spans="1:17" x14ac:dyDescent="0.25">
      <c r="A43" s="12">
        <v>62</v>
      </c>
      <c r="B43" s="38" t="s">
        <v>538</v>
      </c>
      <c r="C43" s="39">
        <v>44478</v>
      </c>
      <c r="D43" s="40" t="str">
        <f t="shared" si="0"/>
        <v>Octubre</v>
      </c>
      <c r="E43" s="40" t="s">
        <v>539</v>
      </c>
      <c r="F43" s="40" t="s">
        <v>540</v>
      </c>
      <c r="G43" s="40" t="s">
        <v>471</v>
      </c>
      <c r="H43" s="40" t="s">
        <v>472</v>
      </c>
      <c r="I43" s="40" t="s">
        <v>438</v>
      </c>
      <c r="J43" s="40" t="s">
        <v>416</v>
      </c>
      <c r="K43" s="40" t="s">
        <v>406</v>
      </c>
      <c r="L43" s="41">
        <v>2800</v>
      </c>
      <c r="M43" s="40" t="s">
        <v>417</v>
      </c>
      <c r="N43" s="40" t="s">
        <v>408</v>
      </c>
      <c r="O43" s="40" t="s">
        <v>409</v>
      </c>
      <c r="P43" s="40" t="s">
        <v>410</v>
      </c>
      <c r="Q43" s="40" t="s">
        <v>411</v>
      </c>
    </row>
    <row r="44" spans="1:17" x14ac:dyDescent="0.25">
      <c r="A44" s="12">
        <v>63</v>
      </c>
      <c r="B44" s="38" t="s">
        <v>541</v>
      </c>
      <c r="C44" s="39">
        <v>44478</v>
      </c>
      <c r="D44" s="40" t="str">
        <f t="shared" si="0"/>
        <v>Octubre</v>
      </c>
      <c r="E44" s="40" t="s">
        <v>542</v>
      </c>
      <c r="F44" s="40" t="s">
        <v>413</v>
      </c>
      <c r="G44" s="40" t="s">
        <v>543</v>
      </c>
      <c r="H44" s="40" t="s">
        <v>544</v>
      </c>
      <c r="I44" s="40" t="s">
        <v>484</v>
      </c>
      <c r="J44" s="40">
        <v>1667354</v>
      </c>
      <c r="K44" s="40" t="s">
        <v>406</v>
      </c>
      <c r="L44" s="41">
        <v>16502</v>
      </c>
      <c r="M44" s="40" t="s">
        <v>443</v>
      </c>
      <c r="N44" s="40" t="s">
        <v>408</v>
      </c>
      <c r="O44" s="40" t="s">
        <v>409</v>
      </c>
      <c r="P44" s="40" t="s">
        <v>410</v>
      </c>
      <c r="Q44" s="40" t="s">
        <v>411</v>
      </c>
    </row>
    <row r="45" spans="1:17" x14ac:dyDescent="0.25">
      <c r="A45" s="12">
        <v>65</v>
      </c>
      <c r="B45" s="38" t="s">
        <v>546</v>
      </c>
      <c r="C45" s="39">
        <v>44478</v>
      </c>
      <c r="D45" s="40" t="str">
        <f t="shared" si="0"/>
        <v>Octubre</v>
      </c>
      <c r="E45" s="40" t="s">
        <v>539</v>
      </c>
      <c r="F45" s="40" t="s">
        <v>435</v>
      </c>
      <c r="G45" s="40" t="s">
        <v>436</v>
      </c>
      <c r="H45" s="40" t="s">
        <v>437</v>
      </c>
      <c r="I45" s="40" t="s">
        <v>438</v>
      </c>
      <c r="J45" s="40" t="s">
        <v>416</v>
      </c>
      <c r="K45" s="40" t="s">
        <v>406</v>
      </c>
      <c r="L45" s="41">
        <v>2300</v>
      </c>
      <c r="M45" s="40" t="s">
        <v>417</v>
      </c>
      <c r="N45" s="40" t="s">
        <v>408</v>
      </c>
      <c r="O45" s="40" t="s">
        <v>409</v>
      </c>
      <c r="P45" s="40" t="s">
        <v>410</v>
      </c>
      <c r="Q45" s="40" t="s">
        <v>411</v>
      </c>
    </row>
    <row r="46" spans="1:17" x14ac:dyDescent="0.25">
      <c r="A46" s="12">
        <v>67</v>
      </c>
      <c r="B46" s="38" t="s">
        <v>550</v>
      </c>
      <c r="C46" s="39">
        <v>44480</v>
      </c>
      <c r="D46" s="40" t="str">
        <f t="shared" ref="D46:D47" si="1">+TEXT(C46,"MMMM")</f>
        <v>Octubre</v>
      </c>
      <c r="E46" s="40" t="s">
        <v>539</v>
      </c>
      <c r="F46" s="40" t="s">
        <v>435</v>
      </c>
      <c r="G46" s="40" t="s">
        <v>436</v>
      </c>
      <c r="H46" s="40" t="s">
        <v>437</v>
      </c>
      <c r="I46" s="40" t="s">
        <v>438</v>
      </c>
      <c r="J46" s="40" t="s">
        <v>416</v>
      </c>
      <c r="K46" s="40" t="s">
        <v>406</v>
      </c>
      <c r="L46" s="41">
        <v>2300</v>
      </c>
      <c r="M46" s="40" t="s">
        <v>417</v>
      </c>
      <c r="N46" s="40" t="s">
        <v>408</v>
      </c>
      <c r="O46" s="40" t="s">
        <v>409</v>
      </c>
      <c r="P46" s="40" t="s">
        <v>410</v>
      </c>
      <c r="Q46" s="40" t="s">
        <v>411</v>
      </c>
    </row>
    <row r="47" spans="1:17" x14ac:dyDescent="0.25">
      <c r="A47" s="12">
        <v>68</v>
      </c>
      <c r="B47" s="38" t="s">
        <v>551</v>
      </c>
      <c r="C47" s="39">
        <v>44480</v>
      </c>
      <c r="D47" s="40" t="str">
        <f t="shared" si="1"/>
        <v>Octubre</v>
      </c>
      <c r="E47" s="40" t="s">
        <v>539</v>
      </c>
      <c r="F47" s="40" t="s">
        <v>540</v>
      </c>
      <c r="G47" s="40" t="s">
        <v>471</v>
      </c>
      <c r="H47" s="40" t="s">
        <v>472</v>
      </c>
      <c r="I47" s="40" t="s">
        <v>438</v>
      </c>
      <c r="J47" s="40" t="s">
        <v>416</v>
      </c>
      <c r="K47" s="40" t="s">
        <v>406</v>
      </c>
      <c r="L47" s="41">
        <v>2800</v>
      </c>
      <c r="M47" s="40" t="s">
        <v>417</v>
      </c>
      <c r="N47" s="40" t="s">
        <v>408</v>
      </c>
      <c r="O47" s="40" t="s">
        <v>409</v>
      </c>
      <c r="P47" s="40" t="s">
        <v>410</v>
      </c>
      <c r="Q47" s="40" t="s">
        <v>411</v>
      </c>
    </row>
    <row r="49" spans="12:12" x14ac:dyDescent="0.25">
      <c r="L49" s="42">
        <f>+SUM(L2:L47)</f>
        <v>910147</v>
      </c>
    </row>
  </sheetData>
  <autoFilter ref="A1:Q47" xr:uid="{00000000-0001-0000-0000-000000000000}"/>
  <dataValidations count="3">
    <dataValidation type="list" allowBlank="1" showInputMessage="1" showErrorMessage="1" sqref="P20 P2 P23 P35 P31:P32 P29 P25" xr:uid="{6A4D62C3-AD29-468D-94EE-BD873B6AC158}">
      <formula1>"1.- Aceptado, 2.- Aceptado Extemporaneo, 3.- Observado, 4.- Sin Respaldo, 5.- No Aceptado"</formula1>
    </dataValidation>
    <dataValidation type="list" allowBlank="1" showInputMessage="1" showErrorMessage="1" sqref="P21:P22 P24 P26:P28 P30 P33:P34 P36:P47 P3:P19" xr:uid="{361A95B4-373A-4995-94CF-712C610FD9B4}">
      <formula1>"1.- Aceptado, 2.- Aceptado Extemporaneo, 3.- Aceptado no considerado, 4.- Observado, 5.- Sin Respaldo, 6.- No Aceptado"</formula1>
    </dataValidation>
    <dataValidation type="list" allowBlank="1" showInputMessage="1" showErrorMessage="1" sqref="K2:K47" xr:uid="{E9D4C131-FB0D-42F1-91BB-72BDE829BC75}">
      <formula1>"1.- Contado, 2.- Transferencia Bancaria, 3.- Cartola bancaria, 4.- Credito hipotecario, 5.- Otros"</formula1>
    </dataValidation>
  </dataValidation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Edward Chile</vt:lpstr>
      <vt:lpstr>Santander</vt:lpstr>
      <vt:lpstr>Rend. Gastos Con Cartola</vt:lpstr>
      <vt:lpstr>Libro Honorarios</vt:lpstr>
      <vt:lpstr>Libro de compras</vt:lpstr>
      <vt:lpstr>Rend. Gastos Sin Cartola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RASB</dc:creator>
  <cp:lastModifiedBy>RASB</cp:lastModifiedBy>
  <dcterms:created xsi:type="dcterms:W3CDTF">2022-02-05T15:43:46Z</dcterms:created>
  <dcterms:modified xsi:type="dcterms:W3CDTF">2022-04-20T01:53:07Z</dcterms:modified>
</cp:coreProperties>
</file>
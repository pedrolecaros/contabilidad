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G:\My Drive\Ecox\Inmobiliario\Ranco\Contable\2022\"/>
    </mc:Choice>
  </mc:AlternateContent>
  <xr:revisionPtr revIDLastSave="0" documentId="13_ncr:1_{16BA66A2-9321-4A9C-B54C-F31B84E2A4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tas 2022" sheetId="1" r:id="rId1"/>
  </sheets>
  <definedNames>
    <definedName name="_xlnm._FilterDatabase" localSheetId="0" hidden="1">'Ventas 2022'!$H$1:$H$811</definedName>
  </definedNames>
  <calcPr calcId="181029"/>
</workbook>
</file>

<file path=xl/calcChain.xml><?xml version="1.0" encoding="utf-8"?>
<calcChain xmlns="http://schemas.openxmlformats.org/spreadsheetml/2006/main">
  <c r="E80" i="1" l="1"/>
  <c r="D78" i="1"/>
  <c r="E70" i="1"/>
  <c r="E68" i="1"/>
  <c r="D68" i="1"/>
  <c r="I40" i="1"/>
</calcChain>
</file>

<file path=xl/sharedStrings.xml><?xml version="1.0" encoding="utf-8"?>
<sst xmlns="http://schemas.openxmlformats.org/spreadsheetml/2006/main" count="220" uniqueCount="100">
  <si>
    <t>Nº</t>
  </si>
  <si>
    <t>FECHA</t>
  </si>
  <si>
    <t>CHEQUE</t>
  </si>
  <si>
    <t>DETALLE</t>
  </si>
  <si>
    <t>DEP</t>
  </si>
  <si>
    <t>GIROS</t>
  </si>
  <si>
    <t>RESPALDO</t>
  </si>
  <si>
    <t>COMENTARIO</t>
  </si>
  <si>
    <t>BANCO SANTANDER</t>
  </si>
  <si>
    <t>Reserva Parcela H-3 DANIEL EDUARDO AMENABAR GROVE</t>
  </si>
  <si>
    <t>Reserva Parcela O-6 Nicolas Pablo Cifuentes Munoz</t>
  </si>
  <si>
    <t>Reserva Parcela O-3 Michael Matias Munoz Morales</t>
  </si>
  <si>
    <t>Reserva Parcela I-1 GALVEZ PEREZ JOSE ALEJANDRO</t>
  </si>
  <si>
    <t>22/02/2022</t>
  </si>
  <si>
    <t>Reserva Parcela  0-4 Claudia Andrea Levin Vidal</t>
  </si>
  <si>
    <t>Reserva Parcela 0-4 Claudia Andrea Levin Vidal</t>
  </si>
  <si>
    <t>Transferencia y recibo</t>
  </si>
  <si>
    <t>Reserva Parcela H-6 Stefanía Pavlov de la Fuente</t>
  </si>
  <si>
    <t>Reserva Parcela H-8 Ricardo Burmeister</t>
  </si>
  <si>
    <t>Transferencia Pie H-2 Dianiel Amenabar</t>
  </si>
  <si>
    <t>Transferencia Pie O-4 Alicia Levin - Pago por Claudia Andrea González</t>
  </si>
  <si>
    <t>Contrato compraventa</t>
  </si>
  <si>
    <t>Contrato promesa compraventa</t>
  </si>
  <si>
    <t>Transferencia Pie H-8 Stefanía Pavlov</t>
  </si>
  <si>
    <t>Promesa de compraventa</t>
  </si>
  <si>
    <t>Escritura de compraventa</t>
  </si>
  <si>
    <t>Reserva E-1 Felipe Theiler</t>
  </si>
  <si>
    <r>
      <rPr>
        <sz val="10"/>
        <color rgb="FF000000"/>
        <rFont val="Calibri"/>
        <family val="2"/>
      </rPr>
      <t>23/06/2022</t>
    </r>
  </si>
  <si>
    <r>
      <rPr>
        <sz val="10"/>
        <color rgb="FF000000"/>
        <rFont val="Calibri"/>
        <family val="2"/>
      </rPr>
      <t>24/06/2022</t>
    </r>
  </si>
  <si>
    <r>
      <rPr>
        <sz val="10"/>
        <color rgb="FF000000"/>
        <rFont val="Calibri"/>
        <family val="2"/>
      </rPr>
      <t>29/06/2022</t>
    </r>
  </si>
  <si>
    <t>0016019622K Transf. PATRICIO A - Reserva C-1</t>
  </si>
  <si>
    <t>0016019622K Transf. PATRICIO A Abono pie C-1</t>
  </si>
  <si>
    <r>
      <rPr>
        <sz val="10"/>
        <color rgb="FF000000"/>
        <rFont val="Calibri"/>
        <family val="2"/>
      </rPr>
      <t>01/07/2022</t>
    </r>
  </si>
  <si>
    <r>
      <rPr>
        <sz val="10"/>
        <color rgb="FF000000"/>
        <rFont val="Calibri"/>
        <family val="2"/>
      </rPr>
      <t>04/07/2022</t>
    </r>
  </si>
  <si>
    <r>
      <rPr>
        <sz val="10"/>
        <color rgb="FF000000"/>
        <rFont val="Calibri"/>
        <family val="2"/>
      </rPr>
      <t>05/07/2022</t>
    </r>
  </si>
  <si>
    <r>
      <rPr>
        <sz val="10"/>
        <color rgb="FF000000"/>
        <rFont val="Calibri"/>
        <family val="2"/>
      </rPr>
      <t>14/07/2022</t>
    </r>
  </si>
  <si>
    <r>
      <rPr>
        <sz val="10"/>
        <color rgb="FF000000"/>
        <rFont val="Calibri"/>
        <family val="2"/>
      </rPr>
      <t>15/07/2022</t>
    </r>
  </si>
  <si>
    <r>
      <rPr>
        <sz val="10"/>
        <color rgb="FF000000"/>
        <rFont val="Calibri"/>
        <family val="2"/>
      </rPr>
      <t>22/07/2022</t>
    </r>
  </si>
  <si>
    <r>
      <rPr>
        <sz val="10"/>
        <color rgb="FF000000"/>
        <rFont val="Calibri"/>
        <family val="2"/>
      </rPr>
      <t>25/07/2022</t>
    </r>
  </si>
  <si>
    <r>
      <rPr>
        <sz val="10"/>
        <color rgb="FF000000"/>
        <rFont val="Calibri"/>
        <family val="2"/>
      </rPr>
      <t>26/07/2022</t>
    </r>
  </si>
  <si>
    <t>00160980591 Transf.   Pie H-8 Stefanía Pavlov</t>
  </si>
  <si>
    <t>0016019622K Transf. PATRICIO ARQUIS HARCHA  Abono pie C-1</t>
  </si>
  <si>
    <t>0174030189 Transf. DANIEL EDUARDO AMENABAR Abono pie H-2</t>
  </si>
  <si>
    <t>Depósito Documento Mismo Banco. Saldo Precio 0-4</t>
  </si>
  <si>
    <t>00138820882 Transf. FELIPE THE Pie E-1</t>
  </si>
  <si>
    <t>0138820882 Transf. FELIPE GASPAR  Pie E-1</t>
  </si>
  <si>
    <t>0092119548 Transf. VALDEBENITO CUB Reserva E-2 (se devuelve el 26.07)</t>
  </si>
  <si>
    <t>Transf.Internet a 9.211.954-8 Se devuelve reserva por E-2</t>
  </si>
  <si>
    <t>0117032280 Transf. Carola Jacqueli Reserva C-3</t>
  </si>
  <si>
    <t>0117032280 Transf. Carola Jacqueli  Reserva C-3</t>
  </si>
  <si>
    <t>Comprbante reserva</t>
  </si>
  <si>
    <t>Compraventa</t>
  </si>
  <si>
    <t>0160980591 Transf. PAVLOV DE LA FUENTE STEFANIA ALEKSANDRA SITIO H-8</t>
  </si>
  <si>
    <t>0174030189 Transf. DANIEL EDUARDO AMENABAR GROVE SITIO H-2</t>
  </si>
  <si>
    <t>26/07/2022</t>
  </si>
  <si>
    <t>27/07/2022</t>
  </si>
  <si>
    <t>Reserva</t>
  </si>
  <si>
    <t>Cuenta corriente/ Mail</t>
  </si>
  <si>
    <t>Venta</t>
  </si>
  <si>
    <t>venta</t>
  </si>
  <si>
    <t>Categoria</t>
  </si>
  <si>
    <r>
      <rPr>
        <sz val="10"/>
        <color rgb="FF000000"/>
        <rFont val="Calibri"/>
        <family val="2"/>
      </rPr>
      <t>11/08/2022</t>
    </r>
  </si>
  <si>
    <r>
      <rPr>
        <sz val="10"/>
        <color rgb="FF000000"/>
        <rFont val="Calibri"/>
        <family val="2"/>
      </rPr>
      <t>17/08/2022</t>
    </r>
  </si>
  <si>
    <r>
      <rPr>
        <sz val="10"/>
        <color rgb="FF000000"/>
        <rFont val="Calibri"/>
        <family val="2"/>
      </rPr>
      <t>24/08/2022</t>
    </r>
  </si>
  <si>
    <t>Depósito con Vales Vista Venta sitio D-1</t>
  </si>
  <si>
    <t>Depósito con Vales Vista. Venta sitio C-3</t>
  </si>
  <si>
    <t>Escritura</t>
  </si>
  <si>
    <t>Transf.Internet a 7.061.358-1 Devolucion 10% de precio a parcela O4.</t>
  </si>
  <si>
    <t>Nueva escritrua de compraventa</t>
  </si>
  <si>
    <r>
      <rPr>
        <sz val="10"/>
        <color rgb="FF000000"/>
        <rFont val="Calibri"/>
        <family val="2"/>
      </rPr>
      <t>02/11/2022</t>
    </r>
  </si>
  <si>
    <r>
      <rPr>
        <sz val="10"/>
        <color rgb="FF000000"/>
        <rFont val="Calibri"/>
        <family val="2"/>
      </rPr>
      <t>02/09/2022</t>
    </r>
  </si>
  <si>
    <r>
      <rPr>
        <sz val="10"/>
        <color rgb="FF000000"/>
        <rFont val="Calibri"/>
        <family val="2"/>
      </rPr>
      <t>14/09/2022</t>
    </r>
  </si>
  <si>
    <r>
      <rPr>
        <sz val="10"/>
        <color rgb="FF000000"/>
        <rFont val="Calibri"/>
        <family val="2"/>
      </rPr>
      <t>20/09/2022</t>
    </r>
  </si>
  <si>
    <t>17/10/2022</t>
  </si>
  <si>
    <t>00160980591 Transf. STEFANIA A SITIO H-8</t>
  </si>
  <si>
    <t>Transf.Internet a 13.882.088-2 Devolucion Reserva E-1</t>
  </si>
  <si>
    <t>0174030189 Transf. DANIEL EDUARDO abono sitio H-2</t>
  </si>
  <si>
    <t>Transf.Internet a 13.882.088-2  Devolucion Reserva E-1</t>
  </si>
  <si>
    <t>0160980591 Transf. PAVLOV DE LA FU cuota sitio H-8</t>
  </si>
  <si>
    <t>0174030189 Transf. DANIEL EDUARDO Cuota sitio H-2</t>
  </si>
  <si>
    <r>
      <rPr>
        <sz val="10"/>
        <color rgb="FF000000"/>
        <rFont val="Calibri"/>
        <family val="2"/>
      </rPr>
      <t>01/12/2022</t>
    </r>
  </si>
  <si>
    <r>
      <rPr>
        <sz val="10"/>
        <color rgb="FF000000"/>
        <rFont val="Calibri"/>
        <family val="2"/>
      </rPr>
      <t>05/12/2022</t>
    </r>
  </si>
  <si>
    <t>Transf.Internet a 6.954.019-8 Devolucion sitio J-2</t>
  </si>
  <si>
    <r>
      <rPr>
        <sz val="10"/>
        <color rgb="FF000000"/>
        <rFont val="Calibri"/>
        <family val="2"/>
      </rPr>
      <t>26/12/2022</t>
    </r>
  </si>
  <si>
    <r>
      <rPr>
        <sz val="10"/>
        <color rgb="FF000000"/>
        <rFont val="Calibri"/>
        <family val="2"/>
      </rPr>
      <t>30/12/2022</t>
    </r>
  </si>
  <si>
    <t>0160980591 Transf. PAVLOV DE LA FU Cuota sitio H-8</t>
  </si>
  <si>
    <t>0174030189 Transf. DANIEL EDUARDO cuota sitio H-2</t>
  </si>
  <si>
    <t>Reserva Parcela J-4 Jorge Hiriart de la Cruz</t>
  </si>
  <si>
    <t>Compra J-4 Jorge Hiriart de la Cruz</t>
  </si>
  <si>
    <t>TOTAL</t>
  </si>
  <si>
    <t>VENTAS PARCELAS PAN DE AZUCAR</t>
  </si>
  <si>
    <t>VENTAS PARCELAS EL VOLCAN</t>
  </si>
  <si>
    <t xml:space="preserve">VENTAS PARCELAS ECOX </t>
  </si>
  <si>
    <t>VENTAS PARCELAS AYSEN</t>
  </si>
  <si>
    <t>CANTIDAD PARCELAS VENDIDAS 2022</t>
  </si>
  <si>
    <t>COSTO POR PARCELA UF</t>
  </si>
  <si>
    <t>COSTO TOTAL 2022 EN UF</t>
  </si>
  <si>
    <t>No incluye costo de dos promesadas</t>
  </si>
  <si>
    <t>VENTAS PARCELAS A ACREEDORES</t>
  </si>
  <si>
    <t>TOTAL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</si>
</sst>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-&quot;$&quot;#,##0"/>
    <numFmt numFmtId="165" formatCode="_-&quot;$&quot;* #,##0_-;\-&quot;$&quot;* #,##0_-;_-&quot;$&quot;* &quot;-&quot;_-;_-@"/>
    <numFmt numFmtId="166" formatCode="&quot;$&quot;#,##0;[Red]&quot;$&quot;\-#,##0"/>
    <numFmt numFmtId="167" formatCode="&quot;$&quot;#,##0.00;[Red]&quot;$&quot;\-#,##0.00"/>
    <numFmt numFmtId="168" formatCode="_(&quot;$&quot;* #,##0_);_(&quot;$&quot;* \(#,##0\);_(&quot;$&quot;* &quot;-&quot;??_);_(@_)"/>
    <numFmt numFmtId="169" formatCode="#,##0.000"/>
    <numFmt numFmtId="170" formatCode="dd\/mm\/yyyy"/>
  </numFmts>
  <fonts count="19">
    <font>
      <sz val="11"/>
      <color theme="1"/>
      <name val="Arial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444444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0"/>
      <color rgb="FF000000"/>
      <name val="Calibri"/>
      <family val="2"/>
    </font>
    <font>
      <sz val="10"/>
      <color rgb="FF444444"/>
      <name val="Calibri"/>
      <family val="2"/>
    </font>
    <font>
      <sz val="10"/>
      <color rgb="FF000000"/>
      <name val="Calibri"/>
      <family val="2"/>
      <scheme val="major"/>
    </font>
    <font>
      <sz val="10"/>
      <color theme="1"/>
      <name val="Calibri"/>
      <family val="2"/>
      <scheme val="major"/>
    </font>
    <font>
      <sz val="10"/>
      <color rgb="FF444444"/>
      <name val="Calibri"/>
      <family val="2"/>
      <scheme val="major"/>
    </font>
    <font>
      <b/>
      <sz val="11"/>
      <color theme="1"/>
      <name val="Calibri (Cuerpo)"/>
    </font>
    <font>
      <sz val="11"/>
      <color theme="1"/>
      <name val="Calibri (Cuerpo)"/>
    </font>
    <font>
      <sz val="11"/>
      <color rgb="FF444444"/>
      <name val="Calibri (Cuerpo)"/>
    </font>
    <font>
      <sz val="11"/>
      <color rgb="FF000000"/>
      <name val="Calibri (Cuerpo)"/>
    </font>
    <font>
      <b/>
      <sz val="10"/>
      <color theme="1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E1E1E1"/>
      </right>
      <top style="medium">
        <color rgb="FFE1E1E1"/>
      </top>
      <bottom style="medium">
        <color rgb="FFE1E1E1"/>
      </bottom>
      <diagonal/>
    </border>
    <border>
      <left/>
      <right style="medium">
        <color rgb="FFE1E1E1"/>
      </right>
      <top style="medium">
        <color rgb="FFE1E1E1"/>
      </top>
      <bottom style="thin">
        <color indexed="64"/>
      </bottom>
      <diagonal/>
    </border>
    <border>
      <left/>
      <right style="medium">
        <color rgb="FFE1E1E1"/>
      </right>
      <top/>
      <bottom style="medium">
        <color rgb="FFE1E1E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" fillId="0" borderId="1" applyBorder="0"/>
  </cellStyleXfs>
  <cellXfs count="70">
    <xf numFmtId="0" fontId="0" fillId="0" borderId="0" xfId="0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165" fontId="7" fillId="0" borderId="1" xfId="0" applyNumberFormat="1" applyFont="1" applyBorder="1" applyAlignment="1">
      <alignment horizontal="center" wrapText="1"/>
    </xf>
    <xf numFmtId="15" fontId="5" fillId="0" borderId="1" xfId="0" applyNumberFormat="1" applyFont="1" applyBorder="1" applyAlignment="1">
      <alignment horizontal="right" wrapText="1"/>
    </xf>
    <xf numFmtId="170" fontId="5" fillId="0" borderId="1" xfId="0" applyNumberFormat="1" applyFont="1" applyBorder="1" applyAlignment="1">
      <alignment horizontal="left" wrapText="1"/>
    </xf>
    <xf numFmtId="170" fontId="6" fillId="0" borderId="1" xfId="0" applyNumberFormat="1" applyFont="1" applyBorder="1" applyAlignment="1">
      <alignment horizontal="left"/>
    </xf>
    <xf numFmtId="3" fontId="5" fillId="0" borderId="1" xfId="0" applyNumberFormat="1" applyFont="1" applyBorder="1"/>
    <xf numFmtId="0" fontId="6" fillId="0" borderId="1" xfId="0" applyFont="1" applyBorder="1"/>
    <xf numFmtId="167" fontId="7" fillId="2" borderId="1" xfId="0" applyNumberFormat="1" applyFont="1" applyFill="1" applyBorder="1" applyAlignment="1">
      <alignment horizontal="right" wrapText="1"/>
    </xf>
    <xf numFmtId="4" fontId="5" fillId="0" borderId="1" xfId="0" applyNumberFormat="1" applyFont="1" applyBorder="1" applyAlignment="1">
      <alignment horizontal="right" wrapText="1"/>
    </xf>
    <xf numFmtId="167" fontId="7" fillId="0" borderId="1" xfId="0" applyNumberFormat="1" applyFont="1" applyBorder="1" applyAlignment="1">
      <alignment horizontal="right" wrapText="1"/>
    </xf>
    <xf numFmtId="4" fontId="5" fillId="0" borderId="1" xfId="0" applyNumberFormat="1" applyFont="1" applyBorder="1" applyAlignment="1">
      <alignment wrapText="1"/>
    </xf>
    <xf numFmtId="4" fontId="7" fillId="0" borderId="1" xfId="0" applyNumberFormat="1" applyFont="1" applyBorder="1" applyAlignment="1">
      <alignment horizontal="right" wrapText="1"/>
    </xf>
    <xf numFmtId="167" fontId="7" fillId="0" borderId="1" xfId="0" applyNumberFormat="1" applyFont="1" applyBorder="1" applyAlignment="1">
      <alignment horizontal="center" wrapText="1"/>
    </xf>
    <xf numFmtId="167" fontId="5" fillId="0" borderId="1" xfId="0" applyNumberFormat="1" applyFont="1" applyBorder="1" applyAlignment="1">
      <alignment horizontal="right" wrapText="1"/>
    </xf>
    <xf numFmtId="14" fontId="6" fillId="0" borderId="1" xfId="0" applyNumberFormat="1" applyFont="1" applyBorder="1"/>
    <xf numFmtId="164" fontId="6" fillId="0" borderId="1" xfId="0" applyNumberFormat="1" applyFont="1" applyBorder="1"/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10" fillId="4" borderId="3" xfId="0" applyNumberFormat="1" applyFont="1" applyFill="1" applyBorder="1" applyAlignment="1">
      <alignment horizontal="left" vertical="top" wrapText="1"/>
    </xf>
    <xf numFmtId="0" fontId="11" fillId="0" borderId="1" xfId="0" applyFont="1" applyBorder="1"/>
    <xf numFmtId="166" fontId="12" fillId="0" borderId="1" xfId="0" applyNumberFormat="1" applyFont="1" applyBorder="1" applyAlignment="1">
      <alignment horizontal="right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12" fillId="0" borderId="1" xfId="0" applyFont="1" applyBorder="1" applyAlignment="1">
      <alignment horizontal="left" wrapText="1"/>
    </xf>
    <xf numFmtId="3" fontId="11" fillId="0" borderId="1" xfId="0" applyNumberFormat="1" applyFont="1" applyBorder="1"/>
    <xf numFmtId="169" fontId="11" fillId="0" borderId="1" xfId="0" applyNumberFormat="1" applyFont="1" applyBorder="1"/>
    <xf numFmtId="0" fontId="13" fillId="0" borderId="1" xfId="0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8" fontId="13" fillId="0" borderId="1" xfId="0" applyNumberFormat="1" applyFont="1" applyBorder="1" applyAlignment="1">
      <alignment horizontal="right" vertical="center"/>
    </xf>
    <xf numFmtId="168" fontId="12" fillId="0" borderId="1" xfId="1" applyNumberFormat="1" applyFont="1" applyFill="1" applyBorder="1" applyAlignment="1">
      <alignment horizontal="right" wrapText="1"/>
    </xf>
    <xf numFmtId="0" fontId="9" fillId="0" borderId="1" xfId="0" applyFont="1" applyBorder="1"/>
    <xf numFmtId="14" fontId="10" fillId="4" borderId="4" xfId="0" applyNumberFormat="1" applyFont="1" applyFill="1" applyBorder="1" applyAlignment="1">
      <alignment horizontal="left" vertical="top" wrapText="1"/>
    </xf>
    <xf numFmtId="0" fontId="5" fillId="0" borderId="2" xfId="0" applyFont="1" applyBorder="1" applyAlignment="1">
      <alignment wrapText="1"/>
    </xf>
    <xf numFmtId="0" fontId="2" fillId="0" borderId="2" xfId="0" applyFont="1" applyBorder="1"/>
    <xf numFmtId="166" fontId="12" fillId="0" borderId="2" xfId="0" applyNumberFormat="1" applyFont="1" applyBorder="1" applyAlignment="1">
      <alignment horizontal="right" wrapText="1"/>
    </xf>
    <xf numFmtId="0" fontId="5" fillId="0" borderId="2" xfId="0" applyFont="1" applyBorder="1"/>
    <xf numFmtId="166" fontId="5" fillId="0" borderId="1" xfId="0" applyNumberFormat="1" applyFont="1" applyBorder="1"/>
    <xf numFmtId="165" fontId="5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horizontal="right"/>
    </xf>
    <xf numFmtId="166" fontId="5" fillId="0" borderId="2" xfId="0" applyNumberFormat="1" applyFont="1" applyBorder="1"/>
    <xf numFmtId="0" fontId="14" fillId="0" borderId="1" xfId="0" applyFont="1" applyBorder="1"/>
    <xf numFmtId="0" fontId="15" fillId="0" borderId="1" xfId="0" applyFont="1" applyBorder="1"/>
    <xf numFmtId="14" fontId="16" fillId="4" borderId="3" xfId="0" applyNumberFormat="1" applyFont="1" applyFill="1" applyBorder="1" applyAlignment="1">
      <alignment horizontal="left" vertical="top" wrapText="1"/>
    </xf>
    <xf numFmtId="0" fontId="15" fillId="0" borderId="1" xfId="0" applyFont="1" applyBorder="1" applyAlignment="1">
      <alignment wrapText="1"/>
    </xf>
    <xf numFmtId="0" fontId="17" fillId="0" borderId="1" xfId="0" applyFont="1" applyBorder="1"/>
    <xf numFmtId="166" fontId="15" fillId="0" borderId="1" xfId="0" applyNumberFormat="1" applyFont="1" applyBorder="1" applyAlignment="1">
      <alignment horizontal="right" wrapText="1"/>
    </xf>
    <xf numFmtId="14" fontId="16" fillId="4" borderId="4" xfId="0" applyNumberFormat="1" applyFont="1" applyFill="1" applyBorder="1" applyAlignment="1">
      <alignment horizontal="left" vertical="top" wrapText="1"/>
    </xf>
    <xf numFmtId="0" fontId="15" fillId="0" borderId="2" xfId="0" applyFont="1" applyBorder="1" applyAlignment="1">
      <alignment wrapText="1"/>
    </xf>
    <xf numFmtId="0" fontId="17" fillId="0" borderId="2" xfId="0" applyFont="1" applyBorder="1"/>
    <xf numFmtId="166" fontId="15" fillId="0" borderId="2" xfId="0" applyNumberFormat="1" applyFont="1" applyBorder="1" applyAlignment="1">
      <alignment horizontal="right" wrapText="1"/>
    </xf>
    <xf numFmtId="14" fontId="16" fillId="4" borderId="5" xfId="0" applyNumberFormat="1" applyFont="1" applyFill="1" applyBorder="1" applyAlignment="1">
      <alignment horizontal="left" vertical="top" wrapText="1"/>
    </xf>
    <xf numFmtId="166" fontId="15" fillId="0" borderId="1" xfId="0" applyNumberFormat="1" applyFont="1" applyBorder="1" applyAlignment="1">
      <alignment horizontal="right" vertical="center" wrapText="1"/>
    </xf>
    <xf numFmtId="0" fontId="14" fillId="3" borderId="2" xfId="0" applyFont="1" applyFill="1" applyBorder="1" applyAlignment="1">
      <alignment horizontal="right" vertical="center"/>
    </xf>
    <xf numFmtId="166" fontId="14" fillId="3" borderId="6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7" fillId="3" borderId="7" xfId="0" applyFont="1" applyFill="1" applyBorder="1" applyAlignment="1">
      <alignment horizontal="left" wrapText="1"/>
    </xf>
    <xf numFmtId="0" fontId="7" fillId="3" borderId="6" xfId="0" applyFont="1" applyFill="1" applyBorder="1" applyAlignment="1">
      <alignment vertical="center" wrapText="1"/>
    </xf>
    <xf numFmtId="166" fontId="18" fillId="0" borderId="1" xfId="0" applyNumberFormat="1" applyFont="1" applyBorder="1" applyAlignment="1">
      <alignment horizontal="left" wrapText="1"/>
    </xf>
    <xf numFmtId="0" fontId="2" fillId="0" borderId="1" xfId="0" applyFont="1" applyBorder="1"/>
  </cellXfs>
  <cellStyles count="3">
    <cellStyle name="Currency" xfId="1" builtinId="4"/>
    <cellStyle name="Normal" xfId="0" builtinId="0"/>
    <cellStyle name="Normal 2" xfId="2" xr:uid="{309944FA-D047-4B84-A852-A9DA8B53B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5"/>
  <sheetViews>
    <sheetView tabSelected="1" zoomScale="93" zoomScaleNormal="93" workbookViewId="0">
      <pane ySplit="3" topLeftCell="A64" activePane="bottomLeft" state="frozen"/>
      <selection pane="bottomLeft" activeCell="G84" sqref="G84"/>
    </sheetView>
  </sheetViews>
  <sheetFormatPr defaultColWidth="12.625" defaultRowHeight="15" customHeight="1"/>
  <cols>
    <col min="1" max="1" width="22.125" style="2" customWidth="1"/>
    <col min="2" max="2" width="16.875" style="2" customWidth="1"/>
    <col min="3" max="3" width="58.375" style="2" customWidth="1"/>
    <col min="4" max="4" width="27.375" style="2" customWidth="1"/>
    <col min="5" max="5" width="24.375" style="2" customWidth="1"/>
    <col min="6" max="6" width="30" style="2" customWidth="1"/>
    <col min="7" max="7" width="36.625" style="2" customWidth="1"/>
    <col min="8" max="8" width="22.125" style="2" customWidth="1"/>
    <col min="9" max="11" width="10" style="2" customWidth="1"/>
    <col min="12" max="12" width="11.625" style="2" bestFit="1" customWidth="1"/>
    <col min="13" max="14" width="13.625" style="2" bestFit="1" customWidth="1"/>
    <col min="15" max="15" width="69.875" style="2" bestFit="1" customWidth="1"/>
    <col min="16" max="16" width="15" style="2" bestFit="1" customWidth="1"/>
    <col min="17" max="26" width="10" style="2" customWidth="1"/>
    <col min="27" max="16384" width="12.625" style="2"/>
  </cols>
  <sheetData>
    <row r="1" spans="1:26">
      <c r="A1" s="5"/>
      <c r="B1" s="5"/>
      <c r="C1" s="6" t="s">
        <v>8</v>
      </c>
      <c r="D1" s="5"/>
      <c r="E1" s="5"/>
      <c r="F1" s="5"/>
      <c r="G1" s="5"/>
      <c r="H1" s="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5"/>
      <c r="V1" s="5"/>
      <c r="W1" s="5"/>
      <c r="X1" s="5"/>
      <c r="Y1" s="5"/>
      <c r="Z1" s="5"/>
    </row>
    <row r="2" spans="1:26">
      <c r="A2" s="5"/>
      <c r="B2" s="5" t="s">
        <v>0</v>
      </c>
      <c r="C2" s="5"/>
      <c r="D2" s="5"/>
      <c r="E2" s="5"/>
      <c r="F2" s="5"/>
      <c r="G2" s="5"/>
      <c r="H2" s="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 t="s">
        <v>1</v>
      </c>
      <c r="B3" s="10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11" t="s">
        <v>60</v>
      </c>
      <c r="I3" s="6"/>
      <c r="J3" s="6"/>
      <c r="K3" s="5"/>
      <c r="L3" s="5"/>
      <c r="M3" s="5"/>
      <c r="N3" s="5"/>
      <c r="O3" s="5"/>
      <c r="P3" s="5"/>
      <c r="Q3" s="5"/>
      <c r="R3" s="5"/>
      <c r="S3" s="6"/>
      <c r="T3" s="6"/>
      <c r="U3" s="6"/>
      <c r="V3" s="6"/>
      <c r="W3" s="5"/>
      <c r="X3" s="6"/>
      <c r="Y3" s="5"/>
      <c r="Z3" s="5"/>
    </row>
    <row r="4" spans="1:26">
      <c r="A4" s="13">
        <v>44610</v>
      </c>
      <c r="B4" s="5"/>
      <c r="C4" s="29" t="s">
        <v>9</v>
      </c>
      <c r="D4" s="30">
        <v>500000</v>
      </c>
      <c r="E4" s="30"/>
      <c r="F4" s="37" t="s">
        <v>16</v>
      </c>
      <c r="G4" s="36"/>
      <c r="H4" s="9" t="s">
        <v>58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7"/>
      <c r="V4" s="5"/>
      <c r="W4" s="5"/>
      <c r="X4" s="5"/>
      <c r="Y4" s="5"/>
      <c r="Z4" s="5"/>
    </row>
    <row r="5" spans="1:26">
      <c r="A5" s="13">
        <v>44613</v>
      </c>
      <c r="B5" s="5"/>
      <c r="C5" s="29" t="s">
        <v>10</v>
      </c>
      <c r="D5" s="30">
        <v>150000</v>
      </c>
      <c r="E5" s="30"/>
      <c r="F5" s="37" t="s">
        <v>16</v>
      </c>
      <c r="G5" s="36"/>
      <c r="H5" s="9" t="s">
        <v>58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7"/>
      <c r="V5" s="18"/>
      <c r="W5" s="5"/>
      <c r="X5" s="5"/>
      <c r="Y5" s="5"/>
      <c r="Z5" s="5"/>
    </row>
    <row r="6" spans="1:26">
      <c r="A6" s="13">
        <v>44613</v>
      </c>
      <c r="B6" s="5"/>
      <c r="C6" s="29" t="s">
        <v>12</v>
      </c>
      <c r="D6" s="30">
        <v>50000</v>
      </c>
      <c r="E6" s="30"/>
      <c r="F6" s="37" t="s">
        <v>16</v>
      </c>
      <c r="G6" s="36"/>
      <c r="H6" s="9" t="s">
        <v>58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  <c r="U6" s="19"/>
      <c r="V6" s="5"/>
      <c r="W6" s="5"/>
      <c r="X6" s="20"/>
      <c r="Y6" s="5"/>
      <c r="Z6" s="5"/>
    </row>
    <row r="7" spans="1:26">
      <c r="A7" s="13">
        <v>44613</v>
      </c>
      <c r="B7" s="5"/>
      <c r="C7" s="29" t="s">
        <v>11</v>
      </c>
      <c r="D7" s="30">
        <v>300000</v>
      </c>
      <c r="E7" s="30"/>
      <c r="F7" s="37" t="s">
        <v>16</v>
      </c>
      <c r="G7" s="36"/>
      <c r="H7" s="9" t="s">
        <v>58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9"/>
      <c r="V7" s="21"/>
      <c r="W7" s="5"/>
      <c r="X7" s="5"/>
      <c r="Y7" s="5"/>
      <c r="Z7" s="5"/>
    </row>
    <row r="8" spans="1:26">
      <c r="A8" s="13">
        <v>44613</v>
      </c>
      <c r="B8" s="5"/>
      <c r="C8" s="29" t="s">
        <v>12</v>
      </c>
      <c r="D8" s="30">
        <v>100000</v>
      </c>
      <c r="E8" s="30"/>
      <c r="F8" s="37" t="s">
        <v>16</v>
      </c>
      <c r="G8" s="36"/>
      <c r="H8" s="9" t="s">
        <v>58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22"/>
      <c r="V8" s="5"/>
      <c r="W8" s="5"/>
      <c r="X8" s="20"/>
      <c r="Y8" s="5"/>
      <c r="Z8" s="5"/>
    </row>
    <row r="9" spans="1:26">
      <c r="A9" s="13">
        <v>44613</v>
      </c>
      <c r="B9" s="5"/>
      <c r="C9" s="29" t="s">
        <v>12</v>
      </c>
      <c r="D9" s="30">
        <v>250000</v>
      </c>
      <c r="E9" s="30"/>
      <c r="F9" s="37" t="s">
        <v>16</v>
      </c>
      <c r="G9" s="36"/>
      <c r="H9" s="9" t="s">
        <v>58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7"/>
      <c r="V9" s="18"/>
      <c r="W9" s="5"/>
      <c r="X9" s="5"/>
      <c r="Y9" s="5"/>
      <c r="Z9" s="5"/>
    </row>
    <row r="10" spans="1:26">
      <c r="A10" s="13">
        <v>44613</v>
      </c>
      <c r="B10" s="5"/>
      <c r="C10" s="29" t="s">
        <v>10</v>
      </c>
      <c r="D10" s="30">
        <v>350000</v>
      </c>
      <c r="E10" s="30"/>
      <c r="F10" s="37" t="s">
        <v>16</v>
      </c>
      <c r="G10" s="36"/>
      <c r="H10" s="9" t="s">
        <v>58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7"/>
      <c r="V10" s="5"/>
      <c r="W10" s="5"/>
      <c r="X10" s="18"/>
      <c r="Y10" s="5"/>
      <c r="Z10" s="5"/>
    </row>
    <row r="11" spans="1:26">
      <c r="A11" s="13">
        <v>44613</v>
      </c>
      <c r="B11" s="5"/>
      <c r="C11" s="29" t="s">
        <v>12</v>
      </c>
      <c r="D11" s="30">
        <v>100000</v>
      </c>
      <c r="E11" s="30"/>
      <c r="F11" s="37" t="s">
        <v>16</v>
      </c>
      <c r="G11" s="36"/>
      <c r="H11" s="9" t="s">
        <v>58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17"/>
      <c r="V11" s="5"/>
      <c r="W11" s="5"/>
      <c r="X11" s="18"/>
      <c r="Y11" s="5"/>
      <c r="Z11" s="5"/>
    </row>
    <row r="12" spans="1:26">
      <c r="A12" s="13">
        <v>44613</v>
      </c>
      <c r="B12" s="5"/>
      <c r="C12" s="29" t="s">
        <v>11</v>
      </c>
      <c r="D12" s="30">
        <v>200000</v>
      </c>
      <c r="E12" s="30"/>
      <c r="F12" s="37" t="s">
        <v>16</v>
      </c>
      <c r="G12" s="36"/>
      <c r="H12" s="9" t="s">
        <v>58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23"/>
      <c r="V12" s="5"/>
      <c r="W12" s="5"/>
      <c r="X12" s="5"/>
      <c r="Y12" s="5"/>
      <c r="Z12" s="5"/>
    </row>
    <row r="13" spans="1:26">
      <c r="A13" s="13">
        <v>44613</v>
      </c>
      <c r="B13" s="5"/>
      <c r="C13" s="29" t="s">
        <v>87</v>
      </c>
      <c r="D13" s="30">
        <v>1000000</v>
      </c>
      <c r="E13" s="30"/>
      <c r="F13" s="37" t="s">
        <v>16</v>
      </c>
      <c r="G13" s="36"/>
      <c r="H13" s="9" t="s">
        <v>58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23"/>
      <c r="V13" s="18"/>
      <c r="W13" s="5"/>
      <c r="X13" s="5"/>
      <c r="Y13" s="5"/>
      <c r="Z13" s="5"/>
    </row>
    <row r="14" spans="1:26">
      <c r="A14" s="16" t="s">
        <v>13</v>
      </c>
      <c r="B14" s="5"/>
      <c r="C14" s="31" t="s">
        <v>14</v>
      </c>
      <c r="D14" s="30">
        <v>200000</v>
      </c>
      <c r="E14" s="30"/>
      <c r="F14" s="37" t="s">
        <v>16</v>
      </c>
      <c r="G14" s="36"/>
      <c r="H14" s="9" t="s">
        <v>58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23"/>
      <c r="V14" s="5"/>
      <c r="W14" s="5"/>
      <c r="X14" s="5"/>
      <c r="Y14" s="5"/>
      <c r="Z14" s="5"/>
    </row>
    <row r="15" spans="1:26">
      <c r="A15" s="14">
        <v>44615</v>
      </c>
      <c r="B15" s="5"/>
      <c r="C15" s="31" t="s">
        <v>15</v>
      </c>
      <c r="D15" s="30">
        <v>300000</v>
      </c>
      <c r="E15" s="30"/>
      <c r="F15" s="37" t="s">
        <v>16</v>
      </c>
      <c r="G15" s="36"/>
      <c r="H15" s="9" t="s">
        <v>58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23"/>
      <c r="V15" s="5"/>
      <c r="W15" s="5"/>
      <c r="X15" s="5"/>
      <c r="Y15" s="5"/>
      <c r="Z15" s="5"/>
    </row>
    <row r="16" spans="1:26">
      <c r="A16" s="14">
        <v>44622</v>
      </c>
      <c r="B16" s="5"/>
      <c r="C16" s="29" t="s">
        <v>17</v>
      </c>
      <c r="D16" s="30">
        <v>250000</v>
      </c>
      <c r="E16" s="30"/>
      <c r="F16" s="37" t="s">
        <v>16</v>
      </c>
      <c r="G16" s="31"/>
      <c r="H16" s="9" t="s">
        <v>58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17"/>
      <c r="V16" s="18"/>
      <c r="W16" s="5"/>
      <c r="X16" s="5"/>
      <c r="Y16" s="5"/>
      <c r="Z16" s="5"/>
    </row>
    <row r="17" spans="1:26" ht="15.75" customHeight="1">
      <c r="A17" s="14">
        <v>44623</v>
      </c>
      <c r="B17" s="5"/>
      <c r="C17" s="29" t="s">
        <v>17</v>
      </c>
      <c r="D17" s="30">
        <v>250000</v>
      </c>
      <c r="E17" s="30"/>
      <c r="F17" s="37" t="s">
        <v>16</v>
      </c>
      <c r="G17" s="31"/>
      <c r="H17" s="9" t="s">
        <v>58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23"/>
      <c r="V17" s="5"/>
      <c r="W17" s="5"/>
      <c r="X17" s="5"/>
      <c r="Y17" s="5"/>
      <c r="Z17" s="5"/>
    </row>
    <row r="18" spans="1:26" ht="15.75" customHeight="1">
      <c r="A18" s="14">
        <v>44629</v>
      </c>
      <c r="B18" s="5"/>
      <c r="C18" s="29" t="s">
        <v>18</v>
      </c>
      <c r="D18" s="30">
        <v>250000</v>
      </c>
      <c r="E18" s="30"/>
      <c r="F18" s="37" t="s">
        <v>16</v>
      </c>
      <c r="G18" s="31"/>
      <c r="H18" s="9" t="s">
        <v>58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23"/>
      <c r="V18" s="5"/>
      <c r="W18" s="5"/>
      <c r="X18" s="5"/>
      <c r="Y18" s="5"/>
      <c r="Z18" s="5"/>
    </row>
    <row r="19" spans="1:26" ht="15.75" customHeight="1">
      <c r="A19" s="14">
        <v>44630</v>
      </c>
      <c r="B19" s="5"/>
      <c r="C19" s="29" t="s">
        <v>18</v>
      </c>
      <c r="D19" s="30">
        <v>250000</v>
      </c>
      <c r="E19" s="30"/>
      <c r="F19" s="37" t="s">
        <v>16</v>
      </c>
      <c r="G19" s="31"/>
      <c r="H19" s="9" t="s">
        <v>58</v>
      </c>
    </row>
    <row r="20" spans="1:26" ht="15.75" customHeight="1">
      <c r="A20" s="14">
        <v>44712</v>
      </c>
      <c r="B20" s="5"/>
      <c r="C20" s="32" t="s">
        <v>20</v>
      </c>
      <c r="D20" s="30">
        <v>4000000</v>
      </c>
      <c r="E20" s="30"/>
      <c r="F20" s="33" t="s">
        <v>21</v>
      </c>
      <c r="G20" s="31"/>
      <c r="H20" s="9" t="s">
        <v>58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23"/>
      <c r="V20" s="5"/>
      <c r="W20" s="5"/>
      <c r="X20" s="5"/>
      <c r="Y20" s="5"/>
      <c r="Z20" s="5"/>
    </row>
    <row r="21" spans="1:26" ht="15.75" customHeight="1">
      <c r="A21" s="14">
        <v>44713</v>
      </c>
      <c r="B21" s="5"/>
      <c r="C21" s="32" t="s">
        <v>19</v>
      </c>
      <c r="D21" s="30">
        <v>5000000</v>
      </c>
      <c r="E21" s="30"/>
      <c r="F21" s="33" t="s">
        <v>22</v>
      </c>
      <c r="G21" s="31"/>
      <c r="H21" s="9" t="s">
        <v>58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23"/>
      <c r="V21" s="5"/>
      <c r="W21" s="5"/>
      <c r="X21" s="5"/>
      <c r="Y21" s="5"/>
      <c r="Z21" s="5"/>
    </row>
    <row r="22" spans="1:26" ht="15.75" customHeight="1">
      <c r="A22" s="14">
        <v>44715</v>
      </c>
      <c r="B22" s="5"/>
      <c r="C22" s="32" t="s">
        <v>23</v>
      </c>
      <c r="D22" s="30">
        <v>5000000</v>
      </c>
      <c r="E22" s="30"/>
      <c r="F22" s="33" t="s">
        <v>24</v>
      </c>
      <c r="G22" s="31"/>
      <c r="H22" s="9" t="s">
        <v>58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23"/>
      <c r="V22" s="5"/>
      <c r="W22" s="5"/>
      <c r="X22" s="5"/>
      <c r="Y22" s="5"/>
      <c r="Z22" s="5"/>
    </row>
    <row r="23" spans="1:26" ht="15.75" customHeight="1">
      <c r="A23" s="14">
        <v>44715</v>
      </c>
      <c r="B23" s="5"/>
      <c r="C23" s="32" t="s">
        <v>23</v>
      </c>
      <c r="D23" s="30">
        <v>300000</v>
      </c>
      <c r="E23" s="30"/>
      <c r="F23" s="33" t="s">
        <v>24</v>
      </c>
      <c r="G23" s="31"/>
      <c r="H23" s="9" t="s">
        <v>58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23"/>
      <c r="V23" s="5"/>
      <c r="W23" s="5"/>
      <c r="X23" s="5"/>
      <c r="Y23" s="5"/>
      <c r="Z23" s="5"/>
    </row>
    <row r="24" spans="1:26" ht="15.75" customHeight="1">
      <c r="A24" s="14">
        <v>44718</v>
      </c>
      <c r="B24" s="5"/>
      <c r="C24" s="32" t="s">
        <v>23</v>
      </c>
      <c r="D24" s="30">
        <v>5000000</v>
      </c>
      <c r="E24" s="30"/>
      <c r="F24" s="33" t="s">
        <v>24</v>
      </c>
      <c r="G24" s="31"/>
      <c r="H24" s="9" t="s">
        <v>58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23"/>
      <c r="V24" s="5"/>
      <c r="W24" s="5"/>
      <c r="X24" s="5"/>
      <c r="Y24" s="5"/>
      <c r="Z24" s="5"/>
    </row>
    <row r="25" spans="1:26" ht="15.75" customHeight="1">
      <c r="A25" s="14">
        <v>44718</v>
      </c>
      <c r="B25" s="5"/>
      <c r="C25" s="32" t="s">
        <v>23</v>
      </c>
      <c r="D25" s="30">
        <v>5000000</v>
      </c>
      <c r="E25" s="30"/>
      <c r="F25" s="33" t="s">
        <v>24</v>
      </c>
      <c r="G25" s="31"/>
      <c r="H25" s="9" t="s">
        <v>58</v>
      </c>
      <c r="I25" s="31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23"/>
      <c r="V25" s="5"/>
      <c r="W25" s="5"/>
      <c r="X25" s="5"/>
      <c r="Y25" s="5"/>
      <c r="Z25" s="5"/>
    </row>
    <row r="26" spans="1:26" ht="15.75" customHeight="1">
      <c r="A26" s="14">
        <v>44718</v>
      </c>
      <c r="B26" s="5"/>
      <c r="C26" s="32" t="s">
        <v>23</v>
      </c>
      <c r="D26" s="30">
        <v>5000000</v>
      </c>
      <c r="E26" s="30"/>
      <c r="F26" s="33" t="s">
        <v>24</v>
      </c>
      <c r="G26" s="31"/>
      <c r="H26" s="9" t="s">
        <v>58</v>
      </c>
      <c r="I26" s="3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23"/>
      <c r="V26" s="5"/>
      <c r="W26" s="5"/>
      <c r="X26" s="5"/>
      <c r="Y26" s="5"/>
      <c r="Z26" s="5"/>
    </row>
    <row r="27" spans="1:26" ht="15.75" customHeight="1">
      <c r="A27" s="14">
        <v>44719</v>
      </c>
      <c r="B27" s="5"/>
      <c r="C27" s="32" t="s">
        <v>23</v>
      </c>
      <c r="D27" s="30">
        <v>3761579</v>
      </c>
      <c r="E27" s="30"/>
      <c r="F27" s="33" t="s">
        <v>24</v>
      </c>
      <c r="G27" s="31"/>
      <c r="H27" s="9" t="s">
        <v>58</v>
      </c>
      <c r="I27" s="31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23"/>
      <c r="V27" s="5"/>
      <c r="W27" s="5"/>
      <c r="X27" s="5"/>
      <c r="Y27" s="5"/>
      <c r="Z27" s="5"/>
    </row>
    <row r="28" spans="1:26" ht="15.75" customHeight="1">
      <c r="A28" s="14">
        <v>44725</v>
      </c>
      <c r="B28" s="5"/>
      <c r="C28" s="32" t="s">
        <v>26</v>
      </c>
      <c r="D28" s="30">
        <v>250000</v>
      </c>
      <c r="E28" s="30"/>
      <c r="F28" s="33" t="s">
        <v>24</v>
      </c>
      <c r="G28" s="31"/>
      <c r="H28" s="9" t="s">
        <v>58</v>
      </c>
      <c r="I28" s="31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23"/>
      <c r="V28" s="5"/>
      <c r="W28" s="5"/>
      <c r="X28" s="5"/>
      <c r="Y28" s="5"/>
      <c r="Z28" s="5"/>
    </row>
    <row r="29" spans="1:26" ht="15.75" customHeight="1">
      <c r="A29" s="14">
        <v>44725</v>
      </c>
      <c r="B29" s="5"/>
      <c r="C29" s="32" t="s">
        <v>26</v>
      </c>
      <c r="D29" s="30">
        <v>250000</v>
      </c>
      <c r="E29" s="30"/>
      <c r="F29" s="31" t="s">
        <v>24</v>
      </c>
      <c r="G29" s="31"/>
      <c r="H29" s="9" t="s">
        <v>58</v>
      </c>
      <c r="I29" s="31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23"/>
      <c r="V29" s="5"/>
      <c r="W29" s="5"/>
      <c r="X29" s="5"/>
      <c r="Y29" s="5"/>
      <c r="Z29" s="5"/>
    </row>
    <row r="30" spans="1:26" ht="15.75" customHeight="1">
      <c r="A30" s="14">
        <v>44729</v>
      </c>
      <c r="B30" s="5"/>
      <c r="C30" s="32" t="s">
        <v>88</v>
      </c>
      <c r="D30" s="39">
        <v>63000000</v>
      </c>
      <c r="E30" s="39"/>
      <c r="F30" s="31" t="s">
        <v>25</v>
      </c>
      <c r="G30" s="31"/>
      <c r="H30" s="9" t="s">
        <v>58</v>
      </c>
      <c r="I30" s="31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23"/>
      <c r="V30" s="5"/>
      <c r="W30" s="5"/>
      <c r="X30" s="5"/>
      <c r="Y30" s="5"/>
      <c r="Z30" s="5"/>
    </row>
    <row r="31" spans="1:26" ht="15.75" customHeight="1">
      <c r="A31" s="1" t="s">
        <v>27</v>
      </c>
      <c r="B31" s="5"/>
      <c r="C31" s="29" t="s">
        <v>30</v>
      </c>
      <c r="D31" s="30">
        <v>250000</v>
      </c>
      <c r="E31" s="30"/>
      <c r="F31" s="31" t="s">
        <v>50</v>
      </c>
      <c r="G31" s="31"/>
      <c r="H31" s="9" t="s">
        <v>58</v>
      </c>
      <c r="I31" s="31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23"/>
      <c r="V31" s="5"/>
      <c r="W31" s="5"/>
      <c r="X31" s="5"/>
      <c r="Y31" s="5"/>
      <c r="Z31" s="5"/>
    </row>
    <row r="32" spans="1:26" ht="15.75" customHeight="1">
      <c r="A32" s="1" t="s">
        <v>28</v>
      </c>
      <c r="B32" s="5"/>
      <c r="C32" s="29" t="s">
        <v>30</v>
      </c>
      <c r="D32" s="30">
        <v>250000</v>
      </c>
      <c r="E32" s="30"/>
      <c r="F32" s="31" t="s">
        <v>51</v>
      </c>
      <c r="G32" s="31"/>
      <c r="H32" s="9" t="s">
        <v>58</v>
      </c>
      <c r="I32" s="3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23"/>
      <c r="V32" s="5"/>
      <c r="W32" s="5"/>
      <c r="X32" s="5"/>
      <c r="Y32" s="5"/>
      <c r="Z32" s="5"/>
    </row>
    <row r="33" spans="1:26" ht="15.75" customHeight="1">
      <c r="A33" s="1" t="s">
        <v>29</v>
      </c>
      <c r="B33" s="5"/>
      <c r="C33" s="29" t="s">
        <v>31</v>
      </c>
      <c r="D33" s="30">
        <v>5000000</v>
      </c>
      <c r="E33" s="30"/>
      <c r="F33" s="31" t="s">
        <v>56</v>
      </c>
      <c r="G33" s="31"/>
      <c r="H33" s="9" t="s">
        <v>58</v>
      </c>
      <c r="I33" s="31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23"/>
      <c r="V33" s="5"/>
      <c r="W33" s="5"/>
      <c r="X33" s="5"/>
      <c r="Y33" s="5"/>
      <c r="Z33" s="5"/>
    </row>
    <row r="34" spans="1:26" ht="15.75" customHeight="1">
      <c r="A34" s="1" t="s">
        <v>32</v>
      </c>
      <c r="C34" s="29" t="s">
        <v>40</v>
      </c>
      <c r="D34" s="30">
        <v>827500</v>
      </c>
      <c r="E34" s="30"/>
      <c r="F34" s="31" t="s">
        <v>24</v>
      </c>
      <c r="G34" s="31"/>
      <c r="H34" s="9" t="s">
        <v>58</v>
      </c>
      <c r="I34" s="31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23"/>
      <c r="V34" s="5"/>
      <c r="W34" s="5"/>
      <c r="X34" s="5"/>
      <c r="Y34" s="5"/>
      <c r="Z34" s="5"/>
    </row>
    <row r="35" spans="1:26" ht="15.75" customHeight="1">
      <c r="A35" s="1" t="s">
        <v>33</v>
      </c>
      <c r="B35" s="5"/>
      <c r="C35" s="29" t="s">
        <v>41</v>
      </c>
      <c r="D35" s="30">
        <v>5000000</v>
      </c>
      <c r="E35" s="30"/>
      <c r="F35" s="32" t="s">
        <v>56</v>
      </c>
      <c r="G35" s="31"/>
      <c r="H35" s="9" t="s">
        <v>58</v>
      </c>
      <c r="I35" s="31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23"/>
      <c r="V35" s="5"/>
      <c r="W35" s="5"/>
      <c r="X35" s="5"/>
      <c r="Y35" s="5"/>
      <c r="Z35" s="5"/>
    </row>
    <row r="36" spans="1:26" ht="15.75" customHeight="1">
      <c r="A36" s="1" t="s">
        <v>34</v>
      </c>
      <c r="C36" s="29" t="s">
        <v>41</v>
      </c>
      <c r="D36" s="30">
        <v>4312200</v>
      </c>
      <c r="E36" s="30"/>
      <c r="F36" s="32" t="s">
        <v>56</v>
      </c>
      <c r="G36" s="31"/>
      <c r="H36" s="9" t="s">
        <v>58</v>
      </c>
      <c r="I36" s="31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23"/>
      <c r="V36" s="5"/>
      <c r="W36" s="5"/>
      <c r="X36" s="5"/>
      <c r="Y36" s="5"/>
      <c r="Z36" s="5"/>
    </row>
    <row r="37" spans="1:26" ht="15.75" customHeight="1">
      <c r="A37" s="1" t="s">
        <v>34</v>
      </c>
      <c r="C37" s="29" t="s">
        <v>42</v>
      </c>
      <c r="D37" s="30">
        <v>757508</v>
      </c>
      <c r="E37" s="30"/>
      <c r="F37" s="32" t="s">
        <v>24</v>
      </c>
      <c r="G37" s="31"/>
      <c r="H37" s="9" t="s">
        <v>58</v>
      </c>
      <c r="I37" s="31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23"/>
      <c r="V37" s="5"/>
      <c r="W37" s="5"/>
      <c r="X37" s="5"/>
      <c r="Y37" s="5"/>
      <c r="Z37" s="5"/>
    </row>
    <row r="38" spans="1:26" ht="15.75" customHeight="1">
      <c r="A38" s="1" t="s">
        <v>34</v>
      </c>
      <c r="C38" s="29" t="s">
        <v>43</v>
      </c>
      <c r="D38" s="30">
        <v>45109194</v>
      </c>
      <c r="E38" s="30"/>
      <c r="F38" s="32" t="s">
        <v>51</v>
      </c>
      <c r="G38" s="31"/>
      <c r="H38" s="9" t="s">
        <v>58</v>
      </c>
      <c r="I38" s="31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23"/>
      <c r="V38" s="5"/>
      <c r="W38" s="5"/>
      <c r="X38" s="5"/>
      <c r="Y38" s="5"/>
      <c r="Z38" s="5"/>
    </row>
    <row r="39" spans="1:26" ht="15.75" customHeight="1">
      <c r="A39" s="1" t="s">
        <v>35</v>
      </c>
      <c r="C39" s="29" t="s">
        <v>44</v>
      </c>
      <c r="D39" s="30">
        <v>5000000</v>
      </c>
      <c r="E39" s="30"/>
      <c r="F39" s="32" t="s">
        <v>24</v>
      </c>
      <c r="G39" s="31"/>
      <c r="H39" s="9" t="s">
        <v>58</v>
      </c>
      <c r="I39" s="34"/>
      <c r="J39" s="7"/>
      <c r="L39" s="5"/>
      <c r="M39" s="5"/>
      <c r="N39" s="5"/>
      <c r="O39" s="5"/>
      <c r="P39" s="5"/>
      <c r="Q39" s="5"/>
      <c r="R39" s="5"/>
      <c r="S39" s="5"/>
      <c r="T39" s="5"/>
      <c r="U39" s="23"/>
      <c r="V39" s="5"/>
      <c r="W39" s="5"/>
      <c r="X39" s="5"/>
      <c r="Y39" s="5"/>
      <c r="Z39" s="5"/>
    </row>
    <row r="40" spans="1:26" ht="15.75" customHeight="1">
      <c r="A40" s="1" t="s">
        <v>35</v>
      </c>
      <c r="C40" s="29" t="s">
        <v>45</v>
      </c>
      <c r="D40" s="30">
        <v>2500000</v>
      </c>
      <c r="E40" s="30"/>
      <c r="F40" s="32" t="s">
        <v>24</v>
      </c>
      <c r="G40" s="31"/>
      <c r="H40" s="9" t="s">
        <v>58</v>
      </c>
      <c r="I40" s="35" t="e">
        <f>#REF!/#REF!</f>
        <v>#REF!</v>
      </c>
      <c r="J40" s="7"/>
      <c r="L40" s="5"/>
      <c r="M40" s="5"/>
      <c r="N40" s="5"/>
      <c r="O40" s="5"/>
      <c r="P40" s="5"/>
      <c r="Q40" s="5"/>
      <c r="R40" s="5"/>
      <c r="S40" s="5"/>
      <c r="T40" s="5"/>
      <c r="U40" s="23"/>
      <c r="V40" s="5"/>
      <c r="W40" s="5"/>
      <c r="X40" s="5"/>
      <c r="Y40" s="5"/>
      <c r="Z40" s="5"/>
    </row>
    <row r="41" spans="1:26" ht="15.75" customHeight="1">
      <c r="A41" s="1" t="s">
        <v>35</v>
      </c>
      <c r="C41" s="29" t="s">
        <v>46</v>
      </c>
      <c r="D41" s="30">
        <v>50000</v>
      </c>
      <c r="E41" s="30"/>
      <c r="F41" s="32" t="s">
        <v>56</v>
      </c>
      <c r="G41" s="31"/>
      <c r="H41" s="9" t="s">
        <v>58</v>
      </c>
      <c r="I41" s="34"/>
      <c r="J41" s="7"/>
      <c r="L41" s="5"/>
      <c r="M41" s="5"/>
      <c r="N41" s="5"/>
      <c r="O41" s="5"/>
      <c r="P41" s="5"/>
      <c r="Q41" s="5"/>
      <c r="R41" s="5"/>
      <c r="S41" s="5"/>
      <c r="T41" s="5"/>
      <c r="U41" s="23"/>
      <c r="V41" s="5"/>
      <c r="W41" s="5"/>
      <c r="X41" s="5"/>
      <c r="Y41" s="5"/>
      <c r="Z41" s="5"/>
    </row>
    <row r="42" spans="1:26" ht="15.75" customHeight="1">
      <c r="A42" s="1" t="s">
        <v>36</v>
      </c>
      <c r="C42" s="29" t="s">
        <v>46</v>
      </c>
      <c r="D42" s="30">
        <v>450000</v>
      </c>
      <c r="E42" s="30"/>
      <c r="F42" s="32" t="s">
        <v>56</v>
      </c>
      <c r="G42" s="31"/>
      <c r="H42" s="9" t="s">
        <v>58</v>
      </c>
      <c r="I42" s="34"/>
      <c r="J42" s="7"/>
      <c r="L42" s="5"/>
      <c r="M42" s="5"/>
      <c r="N42" s="5"/>
      <c r="O42" s="5"/>
      <c r="P42" s="5"/>
      <c r="Q42" s="5"/>
      <c r="R42" s="5"/>
      <c r="S42" s="5"/>
      <c r="T42" s="5"/>
      <c r="U42" s="23"/>
      <c r="V42" s="5"/>
      <c r="W42" s="5"/>
      <c r="X42" s="5"/>
      <c r="Y42" s="5"/>
      <c r="Z42" s="5"/>
    </row>
    <row r="43" spans="1:26" ht="15.75" customHeight="1">
      <c r="A43" s="1" t="s">
        <v>37</v>
      </c>
      <c r="C43" s="29" t="s">
        <v>41</v>
      </c>
      <c r="D43" s="30">
        <v>5000000</v>
      </c>
      <c r="E43" s="30"/>
      <c r="F43" s="32" t="s">
        <v>56</v>
      </c>
      <c r="G43" s="31"/>
      <c r="H43" s="9" t="s">
        <v>58</v>
      </c>
      <c r="I43" s="34"/>
      <c r="J43" s="7"/>
      <c r="L43" s="5"/>
      <c r="M43" s="5"/>
      <c r="N43" s="5"/>
      <c r="O43" s="5"/>
      <c r="P43" s="5"/>
      <c r="Q43" s="5"/>
      <c r="R43" s="5"/>
      <c r="S43" s="5"/>
      <c r="T43" s="5"/>
      <c r="U43" s="23"/>
      <c r="V43" s="5"/>
      <c r="W43" s="5"/>
      <c r="X43" s="5"/>
      <c r="Y43" s="5"/>
      <c r="Z43" s="5"/>
    </row>
    <row r="44" spans="1:26" ht="15.75" customHeight="1">
      <c r="A44" s="1" t="s">
        <v>38</v>
      </c>
      <c r="C44" s="29" t="s">
        <v>41</v>
      </c>
      <c r="D44" s="30">
        <v>5000000</v>
      </c>
      <c r="E44" s="30"/>
      <c r="F44" s="32" t="s">
        <v>56</v>
      </c>
      <c r="G44" s="31"/>
      <c r="H44" s="9" t="s">
        <v>58</v>
      </c>
      <c r="I44" s="34"/>
      <c r="J44" s="7"/>
      <c r="L44" s="5"/>
      <c r="M44" s="5"/>
      <c r="N44" s="5"/>
      <c r="O44" s="5"/>
      <c r="P44" s="5"/>
      <c r="Q44" s="5"/>
      <c r="R44" s="5"/>
      <c r="S44" s="5"/>
      <c r="T44" s="5"/>
      <c r="U44" s="23"/>
      <c r="V44" s="5"/>
      <c r="W44" s="5"/>
      <c r="X44" s="5"/>
      <c r="Y44" s="5"/>
      <c r="Z44" s="5"/>
    </row>
    <row r="45" spans="1:26" ht="15.75" customHeight="1">
      <c r="A45" s="1" t="s">
        <v>39</v>
      </c>
      <c r="C45" s="29" t="s">
        <v>47</v>
      </c>
      <c r="D45" s="30"/>
      <c r="E45" s="30">
        <v>500000</v>
      </c>
      <c r="F45" s="32" t="s">
        <v>57</v>
      </c>
      <c r="G45" s="31"/>
      <c r="H45" s="9" t="s">
        <v>58</v>
      </c>
      <c r="I45" s="36"/>
      <c r="J45" s="4"/>
      <c r="K45" s="3"/>
      <c r="L45" s="5"/>
      <c r="M45" s="5"/>
      <c r="N45" s="5"/>
      <c r="O45" s="5"/>
      <c r="P45" s="5"/>
      <c r="Q45" s="5"/>
      <c r="R45" s="5"/>
      <c r="S45" s="5"/>
      <c r="T45" s="5"/>
      <c r="U45" s="23"/>
      <c r="V45" s="5"/>
      <c r="W45" s="5"/>
      <c r="X45" s="5"/>
      <c r="Y45" s="5"/>
      <c r="Z45" s="5"/>
    </row>
    <row r="46" spans="1:26" ht="15.75" customHeight="1">
      <c r="A46" s="26" t="s">
        <v>54</v>
      </c>
      <c r="C46" s="29" t="s">
        <v>48</v>
      </c>
      <c r="D46" s="30">
        <v>350000</v>
      </c>
      <c r="E46" s="30"/>
      <c r="F46" s="32" t="s">
        <v>56</v>
      </c>
      <c r="G46" s="31"/>
      <c r="H46" s="9" t="s">
        <v>58</v>
      </c>
      <c r="I46" s="36"/>
      <c r="J46" s="4"/>
      <c r="K46" s="3"/>
      <c r="L46" s="5"/>
      <c r="M46" s="5"/>
      <c r="N46" s="5"/>
      <c r="O46" s="5"/>
      <c r="P46" s="5"/>
      <c r="Q46" s="5"/>
      <c r="R46" s="5"/>
      <c r="S46" s="5"/>
      <c r="T46" s="5"/>
      <c r="U46" s="23"/>
      <c r="V46" s="5"/>
      <c r="W46" s="5"/>
      <c r="X46" s="5"/>
      <c r="Y46" s="5"/>
      <c r="Z46" s="5"/>
    </row>
    <row r="47" spans="1:26" ht="15.75" customHeight="1">
      <c r="A47" s="26" t="s">
        <v>54</v>
      </c>
      <c r="C47" s="29" t="s">
        <v>41</v>
      </c>
      <c r="D47" s="30">
        <v>4812200</v>
      </c>
      <c r="E47" s="30"/>
      <c r="F47" s="32" t="s">
        <v>56</v>
      </c>
      <c r="G47" s="31"/>
      <c r="H47" s="9" t="s">
        <v>58</v>
      </c>
      <c r="I47" s="36"/>
      <c r="J47" s="4"/>
      <c r="K47" s="3"/>
      <c r="L47" s="5"/>
      <c r="M47" s="5"/>
      <c r="N47" s="5"/>
      <c r="O47" s="5"/>
      <c r="P47" s="5"/>
      <c r="Q47" s="5"/>
      <c r="R47" s="5"/>
      <c r="S47" s="5"/>
      <c r="T47" s="5"/>
      <c r="U47" s="23"/>
      <c r="V47" s="5"/>
      <c r="W47" s="5"/>
      <c r="X47" s="5"/>
      <c r="Y47" s="5"/>
      <c r="Z47" s="5"/>
    </row>
    <row r="48" spans="1:26" ht="15.75" customHeight="1">
      <c r="A48" s="26" t="s">
        <v>55</v>
      </c>
      <c r="C48" s="29" t="s">
        <v>49</v>
      </c>
      <c r="D48" s="30">
        <v>150000</v>
      </c>
      <c r="E48" s="30"/>
      <c r="F48" s="32" t="s">
        <v>56</v>
      </c>
      <c r="G48" s="31"/>
      <c r="H48" s="9" t="s">
        <v>59</v>
      </c>
      <c r="I48" s="36"/>
      <c r="J48" s="4"/>
      <c r="K48" s="3"/>
      <c r="L48" s="5"/>
      <c r="M48" s="5"/>
      <c r="N48" s="5"/>
      <c r="O48" s="5"/>
      <c r="P48" s="5"/>
      <c r="Q48" s="5"/>
      <c r="R48" s="5"/>
      <c r="S48" s="5"/>
      <c r="T48" s="5"/>
      <c r="U48" s="23"/>
      <c r="V48" s="5"/>
      <c r="W48" s="5"/>
      <c r="X48" s="5"/>
      <c r="Y48" s="5"/>
      <c r="Z48" s="5"/>
    </row>
    <row r="49" spans="1:26" ht="15.75" customHeight="1">
      <c r="A49" s="27">
        <v>44569</v>
      </c>
      <c r="C49" s="29" t="s">
        <v>52</v>
      </c>
      <c r="D49" s="30">
        <v>835675</v>
      </c>
      <c r="E49" s="30"/>
      <c r="F49" s="29" t="s">
        <v>24</v>
      </c>
      <c r="G49" s="31"/>
      <c r="H49" s="9" t="s">
        <v>58</v>
      </c>
      <c r="I49" s="36"/>
      <c r="J49" s="4"/>
      <c r="K49" s="3"/>
      <c r="L49" s="5"/>
      <c r="M49" s="5"/>
      <c r="N49" s="5"/>
      <c r="O49" s="5"/>
      <c r="P49" s="5"/>
      <c r="Q49" s="5"/>
      <c r="R49" s="5"/>
      <c r="S49" s="5"/>
      <c r="T49" s="5"/>
      <c r="U49" s="23"/>
      <c r="V49" s="5"/>
      <c r="W49" s="5"/>
      <c r="X49" s="5"/>
      <c r="Y49" s="5"/>
      <c r="Z49" s="5"/>
    </row>
    <row r="50" spans="1:26" ht="15.75" customHeight="1" thickBot="1">
      <c r="A50" s="27">
        <v>44600</v>
      </c>
      <c r="C50" s="29" t="s">
        <v>53</v>
      </c>
      <c r="D50" s="30">
        <v>763470</v>
      </c>
      <c r="E50" s="30"/>
      <c r="F50" s="32" t="s">
        <v>24</v>
      </c>
      <c r="G50" s="31"/>
      <c r="H50" s="9" t="s">
        <v>58</v>
      </c>
      <c r="I50" s="36"/>
      <c r="J50" s="4"/>
      <c r="K50" s="3"/>
      <c r="L50" s="5"/>
      <c r="M50" s="5"/>
      <c r="N50" s="5"/>
      <c r="O50" s="5"/>
      <c r="P50" s="5"/>
      <c r="Q50" s="5"/>
      <c r="R50" s="5"/>
      <c r="S50" s="5"/>
      <c r="T50" s="5"/>
      <c r="U50" s="23"/>
      <c r="V50" s="5"/>
      <c r="W50" s="5"/>
      <c r="X50" s="5"/>
      <c r="Y50" s="5"/>
      <c r="Z50" s="5"/>
    </row>
    <row r="51" spans="1:26" ht="15.75" customHeight="1" thickBot="1">
      <c r="A51" s="28" t="s">
        <v>61</v>
      </c>
      <c r="B51" s="5"/>
      <c r="C51" s="29" t="s">
        <v>65</v>
      </c>
      <c r="D51" s="30">
        <v>32645000</v>
      </c>
      <c r="E51" s="30">
        <v>0</v>
      </c>
      <c r="F51" s="5" t="s">
        <v>66</v>
      </c>
      <c r="G51" s="5"/>
      <c r="H51" s="9" t="s">
        <v>58</v>
      </c>
      <c r="I51" s="36"/>
      <c r="J51" s="4"/>
      <c r="K51" s="3"/>
      <c r="L51" s="5"/>
      <c r="M51" s="5"/>
      <c r="N51" s="5"/>
      <c r="O51" s="5"/>
      <c r="P51" s="5"/>
      <c r="Q51" s="5"/>
      <c r="R51" s="5"/>
      <c r="S51" s="5"/>
      <c r="T51" s="5"/>
      <c r="U51" s="23"/>
      <c r="V51" s="5"/>
      <c r="W51" s="5"/>
      <c r="X51" s="5"/>
      <c r="Y51" s="5"/>
      <c r="Z51" s="5"/>
    </row>
    <row r="52" spans="1:26" ht="15.75" customHeight="1" thickBot="1">
      <c r="A52" s="28" t="s">
        <v>62</v>
      </c>
      <c r="B52" s="5"/>
      <c r="C52" s="29" t="s">
        <v>64</v>
      </c>
      <c r="D52" s="30">
        <v>30000000</v>
      </c>
      <c r="E52" s="30">
        <v>0</v>
      </c>
      <c r="F52" s="5" t="s">
        <v>66</v>
      </c>
      <c r="H52" s="2" t="s">
        <v>58</v>
      </c>
      <c r="I52" s="36"/>
      <c r="J52" s="4"/>
      <c r="K52" s="3"/>
      <c r="L52" s="5"/>
      <c r="M52" s="5"/>
      <c r="N52" s="5"/>
      <c r="O52" s="5"/>
      <c r="P52" s="5"/>
      <c r="Q52" s="5"/>
      <c r="R52" s="5"/>
      <c r="S52" s="5"/>
      <c r="T52" s="5"/>
      <c r="U52" s="23"/>
      <c r="V52" s="5"/>
      <c r="W52" s="5"/>
      <c r="X52" s="5"/>
      <c r="Y52" s="5"/>
      <c r="Z52" s="5"/>
    </row>
    <row r="53" spans="1:26" ht="15.75" customHeight="1" thickBot="1">
      <c r="A53" s="28" t="s">
        <v>63</v>
      </c>
      <c r="B53" s="5"/>
      <c r="C53" s="29" t="s">
        <v>67</v>
      </c>
      <c r="D53" s="30"/>
      <c r="E53" s="30">
        <v>4969587</v>
      </c>
      <c r="F53" s="5" t="s">
        <v>68</v>
      </c>
      <c r="H53" s="2" t="s">
        <v>58</v>
      </c>
      <c r="I53" s="36"/>
      <c r="J53" s="4"/>
      <c r="K53" s="3"/>
      <c r="L53" s="5"/>
      <c r="M53" s="5"/>
      <c r="N53" s="5"/>
      <c r="O53" s="5"/>
      <c r="P53" s="5"/>
      <c r="Q53" s="5"/>
      <c r="R53" s="5"/>
      <c r="S53" s="5"/>
      <c r="T53" s="5"/>
      <c r="U53" s="23"/>
      <c r="V53" s="5"/>
      <c r="W53" s="5"/>
      <c r="X53" s="5"/>
      <c r="Y53" s="5"/>
      <c r="Z53" s="5"/>
    </row>
    <row r="54" spans="1:26" ht="15.75" customHeight="1" thickBot="1">
      <c r="A54" s="28" t="s">
        <v>70</v>
      </c>
      <c r="C54" s="29" t="s">
        <v>74</v>
      </c>
      <c r="D54" s="30">
        <v>664809</v>
      </c>
      <c r="E54" s="30"/>
      <c r="F54" s="30"/>
      <c r="I54" s="38"/>
      <c r="J54" s="4"/>
      <c r="K54" s="3"/>
      <c r="L54" s="5"/>
      <c r="M54" s="5"/>
      <c r="N54" s="5"/>
      <c r="O54" s="5"/>
      <c r="P54" s="5"/>
      <c r="Q54" s="5"/>
      <c r="R54" s="5"/>
      <c r="S54" s="5"/>
      <c r="T54" s="5"/>
      <c r="U54" s="23"/>
      <c r="V54" s="5"/>
      <c r="W54" s="5"/>
      <c r="X54" s="5"/>
      <c r="Y54" s="5"/>
      <c r="Z54" s="5"/>
    </row>
    <row r="55" spans="1:26" ht="15.75" customHeight="1" thickBot="1">
      <c r="A55" s="28" t="s">
        <v>71</v>
      </c>
      <c r="C55" s="29" t="s">
        <v>75</v>
      </c>
      <c r="D55" s="30"/>
      <c r="E55" s="30">
        <v>2000000</v>
      </c>
      <c r="F55" s="30"/>
      <c r="G55" s="5"/>
      <c r="H55" s="9"/>
      <c r="I55" s="31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23"/>
      <c r="V55" s="5"/>
      <c r="W55" s="5"/>
      <c r="X55" s="5"/>
      <c r="Y55" s="5"/>
      <c r="Z55" s="5"/>
    </row>
    <row r="56" spans="1:26" ht="15.75" customHeight="1" thickBot="1">
      <c r="A56" s="28" t="s">
        <v>72</v>
      </c>
      <c r="C56" s="29" t="s">
        <v>76</v>
      </c>
      <c r="D56" s="30">
        <v>779346</v>
      </c>
      <c r="E56" s="30">
        <v>0</v>
      </c>
      <c r="F56" s="30"/>
      <c r="G56" s="5"/>
      <c r="H56" s="9"/>
      <c r="I56" s="31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23"/>
      <c r="V56" s="5"/>
      <c r="W56" s="5"/>
      <c r="X56" s="5"/>
      <c r="Y56" s="5"/>
      <c r="Z56" s="5"/>
    </row>
    <row r="57" spans="1:26" ht="15.75" customHeight="1" thickBot="1">
      <c r="A57" s="28" t="s">
        <v>72</v>
      </c>
      <c r="C57" s="29" t="s">
        <v>77</v>
      </c>
      <c r="D57" s="30"/>
      <c r="E57" s="30">
        <v>6000000</v>
      </c>
      <c r="F57" s="30"/>
      <c r="G57" s="5"/>
      <c r="H57" s="9"/>
      <c r="I57" s="31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23"/>
      <c r="V57" s="5"/>
      <c r="W57" s="5"/>
      <c r="X57" s="5"/>
      <c r="Y57" s="5"/>
      <c r="Z57" s="5"/>
    </row>
    <row r="58" spans="1:26" ht="15.75" customHeight="1" thickBot="1">
      <c r="A58" s="28">
        <v>44630</v>
      </c>
      <c r="B58" s="5"/>
      <c r="C58" s="29" t="s">
        <v>78</v>
      </c>
      <c r="D58" s="30">
        <v>673034</v>
      </c>
      <c r="E58" s="30">
        <v>0</v>
      </c>
      <c r="F58" s="30"/>
      <c r="G58" s="5"/>
      <c r="H58" s="9"/>
      <c r="I58" s="31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23"/>
      <c r="V58" s="5"/>
      <c r="W58" s="5"/>
      <c r="X58" s="5"/>
      <c r="Y58" s="5"/>
      <c r="Z58" s="5"/>
    </row>
    <row r="59" spans="1:26" ht="15.75" customHeight="1" thickBot="1">
      <c r="A59" s="28" t="s">
        <v>73</v>
      </c>
      <c r="C59" s="29" t="s">
        <v>79</v>
      </c>
      <c r="D59" s="30">
        <v>786381</v>
      </c>
      <c r="E59" s="30">
        <v>0</v>
      </c>
      <c r="F59" s="30"/>
      <c r="G59" s="5"/>
      <c r="H59" s="9"/>
      <c r="I59" s="31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23"/>
      <c r="V59" s="5"/>
      <c r="W59" s="5"/>
      <c r="X59" s="5"/>
      <c r="Y59" s="5"/>
      <c r="Z59" s="5"/>
    </row>
    <row r="60" spans="1:26" ht="15.75" customHeight="1" thickBot="1">
      <c r="A60" s="28" t="s">
        <v>69</v>
      </c>
      <c r="B60" s="5"/>
      <c r="C60" s="29" t="s">
        <v>79</v>
      </c>
      <c r="D60" s="30">
        <v>789579</v>
      </c>
      <c r="E60" s="30"/>
      <c r="F60" s="30"/>
      <c r="G60" s="5"/>
      <c r="H60" s="9"/>
      <c r="I60" s="31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23"/>
      <c r="V60" s="5"/>
      <c r="W60" s="5"/>
      <c r="X60" s="5"/>
      <c r="Y60" s="5"/>
      <c r="Z60" s="5"/>
    </row>
    <row r="61" spans="1:26" ht="15.75" customHeight="1" thickBot="1">
      <c r="A61" s="28" t="s">
        <v>69</v>
      </c>
      <c r="B61" s="5"/>
      <c r="C61" s="29" t="s">
        <v>78</v>
      </c>
      <c r="D61" s="30">
        <v>679394</v>
      </c>
      <c r="E61" s="30"/>
      <c r="F61" s="30"/>
      <c r="G61" s="5"/>
      <c r="H61" s="9"/>
      <c r="I61" s="3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23"/>
      <c r="V61" s="5"/>
      <c r="W61" s="5"/>
      <c r="X61" s="5"/>
      <c r="Y61" s="5"/>
      <c r="Z61" s="5"/>
    </row>
    <row r="62" spans="1:26" ht="15.75" customHeight="1" thickBot="1">
      <c r="A62" s="28" t="s">
        <v>80</v>
      </c>
      <c r="C62" s="1" t="s">
        <v>78</v>
      </c>
      <c r="D62" s="30">
        <v>683477</v>
      </c>
      <c r="E62" s="30"/>
      <c r="F62" s="30"/>
      <c r="G62" s="1"/>
      <c r="H62" s="9"/>
      <c r="I62" s="31"/>
      <c r="J62" s="5"/>
      <c r="K62" s="5"/>
      <c r="L62" s="24"/>
      <c r="M62" s="25"/>
      <c r="N62" s="16"/>
      <c r="O62" s="16"/>
      <c r="P62" s="25"/>
      <c r="Q62" s="16"/>
      <c r="R62" s="16"/>
      <c r="S62" s="5"/>
      <c r="T62" s="5"/>
      <c r="U62" s="23"/>
      <c r="V62" s="5"/>
      <c r="W62" s="5"/>
      <c r="X62" s="5"/>
      <c r="Y62" s="5"/>
      <c r="Z62" s="5"/>
    </row>
    <row r="63" spans="1:26" ht="15.75" customHeight="1" thickBot="1">
      <c r="A63" s="28" t="s">
        <v>80</v>
      </c>
      <c r="C63" s="1" t="s">
        <v>79</v>
      </c>
      <c r="D63" s="30">
        <v>795220</v>
      </c>
      <c r="E63" s="30"/>
      <c r="F63" s="30"/>
      <c r="G63" s="1"/>
      <c r="H63" s="9"/>
      <c r="I63" s="31"/>
      <c r="J63" s="5"/>
      <c r="K63" s="5"/>
      <c r="L63" s="24"/>
      <c r="M63" s="25"/>
      <c r="N63" s="16"/>
      <c r="O63" s="16"/>
      <c r="P63" s="25"/>
      <c r="Q63" s="16"/>
      <c r="R63" s="16"/>
      <c r="S63" s="5"/>
      <c r="T63" s="5"/>
      <c r="U63" s="23"/>
      <c r="V63" s="5"/>
      <c r="W63" s="5"/>
      <c r="X63" s="5"/>
      <c r="Y63" s="5"/>
      <c r="Z63" s="5"/>
    </row>
    <row r="64" spans="1:26" ht="15.75" customHeight="1" thickBot="1">
      <c r="A64" s="28" t="s">
        <v>80</v>
      </c>
      <c r="C64" s="1" t="s">
        <v>82</v>
      </c>
      <c r="D64" s="30"/>
      <c r="E64" s="30">
        <v>14931778</v>
      </c>
      <c r="F64" s="30"/>
      <c r="G64" s="1"/>
      <c r="H64" s="9"/>
      <c r="I64" s="31"/>
      <c r="J64" s="5"/>
      <c r="K64" s="5"/>
      <c r="L64" s="24"/>
      <c r="M64" s="25"/>
      <c r="N64" s="16"/>
      <c r="O64" s="16"/>
      <c r="P64" s="25"/>
      <c r="Q64" s="16"/>
      <c r="R64" s="16"/>
      <c r="S64" s="5"/>
      <c r="T64" s="5"/>
      <c r="U64" s="23"/>
      <c r="V64" s="5"/>
      <c r="W64" s="5"/>
      <c r="X64" s="5"/>
      <c r="Y64" s="5"/>
      <c r="Z64" s="5"/>
    </row>
    <row r="65" spans="1:26" ht="15.75" customHeight="1" thickBot="1">
      <c r="A65" s="28" t="s">
        <v>81</v>
      </c>
      <c r="C65" s="1" t="s">
        <v>82</v>
      </c>
      <c r="D65" s="30"/>
      <c r="E65" s="30">
        <v>1101536</v>
      </c>
      <c r="F65" s="30"/>
      <c r="G65" s="1"/>
      <c r="H65" s="9"/>
      <c r="I65" s="31"/>
      <c r="J65" s="5"/>
      <c r="K65" s="5"/>
      <c r="L65" s="24"/>
      <c r="M65" s="25"/>
      <c r="N65" s="16"/>
      <c r="O65" s="16"/>
      <c r="P65" s="25"/>
      <c r="Q65" s="16"/>
      <c r="R65" s="16"/>
      <c r="S65" s="5"/>
      <c r="T65" s="5"/>
      <c r="U65" s="23"/>
      <c r="V65" s="5"/>
      <c r="W65" s="5"/>
      <c r="X65" s="5"/>
      <c r="Y65" s="5"/>
      <c r="Z65" s="5"/>
    </row>
    <row r="66" spans="1:26" ht="15.75" customHeight="1" thickBot="1">
      <c r="A66" s="28" t="s">
        <v>83</v>
      </c>
      <c r="B66" s="5"/>
      <c r="C66" s="1" t="s">
        <v>85</v>
      </c>
      <c r="D66" s="30">
        <v>688130</v>
      </c>
      <c r="E66" s="30">
        <v>0</v>
      </c>
      <c r="F66" s="30"/>
      <c r="G66" s="1"/>
      <c r="H66" s="9"/>
      <c r="I66" s="31"/>
      <c r="J66" s="5"/>
      <c r="K66" s="5"/>
      <c r="L66" s="24"/>
      <c r="M66" s="25"/>
      <c r="N66" s="16"/>
      <c r="O66" s="16"/>
      <c r="P66" s="25"/>
      <c r="Q66" s="16"/>
      <c r="R66" s="16"/>
      <c r="S66" s="5"/>
      <c r="T66" s="5"/>
      <c r="U66" s="23"/>
      <c r="V66" s="5"/>
      <c r="W66" s="5"/>
      <c r="X66" s="5"/>
      <c r="Y66" s="5"/>
      <c r="Z66" s="5"/>
    </row>
    <row r="67" spans="1:26" ht="15.75" customHeight="1">
      <c r="A67" s="41" t="s">
        <v>84</v>
      </c>
      <c r="B67" s="42"/>
      <c r="C67" s="43" t="s">
        <v>86</v>
      </c>
      <c r="D67" s="44">
        <v>801661</v>
      </c>
      <c r="E67" s="44">
        <v>0</v>
      </c>
      <c r="F67" s="43"/>
      <c r="G67" s="45"/>
      <c r="H67" s="43"/>
      <c r="I67" s="31"/>
      <c r="J67" s="5"/>
      <c r="K67" s="5"/>
      <c r="L67" s="24"/>
      <c r="M67" s="25"/>
      <c r="N67" s="16"/>
      <c r="O67" s="16"/>
      <c r="P67" s="25"/>
      <c r="Q67" s="16"/>
      <c r="R67" s="16"/>
      <c r="S67" s="5"/>
      <c r="T67" s="5"/>
      <c r="U67" s="23"/>
      <c r="V67" s="5"/>
      <c r="W67" s="5"/>
      <c r="X67" s="5"/>
      <c r="Y67" s="5"/>
      <c r="Z67" s="5"/>
    </row>
    <row r="68" spans="1:26" ht="15.75" customHeight="1">
      <c r="D68" s="46">
        <f>SUM(D4:D67)</f>
        <v>257465357</v>
      </c>
      <c r="E68" s="46">
        <f>SUM(E4:E67)</f>
        <v>29502901</v>
      </c>
      <c r="F68" s="1"/>
      <c r="H68" s="1"/>
      <c r="I68" s="31"/>
      <c r="J68" s="5"/>
      <c r="K68" s="5"/>
      <c r="L68" s="24"/>
      <c r="M68" s="16"/>
      <c r="N68" s="25"/>
      <c r="O68" s="16"/>
      <c r="P68" s="25"/>
      <c r="Q68" s="16"/>
      <c r="R68" s="16"/>
      <c r="S68" s="5"/>
      <c r="T68" s="5"/>
      <c r="U68" s="23"/>
      <c r="V68" s="5"/>
      <c r="W68" s="5"/>
      <c r="X68" s="5"/>
      <c r="Y68" s="5"/>
      <c r="Z68" s="5"/>
    </row>
    <row r="69" spans="1:26" ht="15.75" customHeight="1">
      <c r="D69" s="45"/>
      <c r="E69" s="45"/>
      <c r="F69" s="1"/>
      <c r="H69" s="1"/>
      <c r="I69" s="31"/>
      <c r="J69" s="5"/>
      <c r="K69" s="5"/>
      <c r="L69" s="24"/>
      <c r="M69" s="16"/>
      <c r="N69" s="25"/>
      <c r="O69" s="16"/>
      <c r="P69" s="25"/>
      <c r="Q69" s="16"/>
      <c r="R69" s="16"/>
      <c r="S69" s="5"/>
      <c r="T69" s="5"/>
      <c r="U69" s="23"/>
      <c r="V69" s="5"/>
      <c r="W69" s="5"/>
      <c r="X69" s="5"/>
      <c r="Y69" s="5"/>
      <c r="Z69" s="5"/>
    </row>
    <row r="70" spans="1:26" ht="15.75" customHeight="1">
      <c r="D70" s="48" t="s">
        <v>89</v>
      </c>
      <c r="E70" s="49">
        <f>D68-E68</f>
        <v>227962456</v>
      </c>
      <c r="H70" s="1"/>
      <c r="I70" s="31"/>
      <c r="J70" s="5"/>
      <c r="K70" s="5"/>
      <c r="L70" s="24"/>
      <c r="M70" s="16"/>
      <c r="N70" s="25"/>
      <c r="O70" s="16"/>
      <c r="P70" s="25"/>
      <c r="Q70" s="16"/>
      <c r="R70" s="16"/>
      <c r="S70" s="5"/>
      <c r="T70" s="5"/>
      <c r="U70" s="23"/>
      <c r="V70" s="5"/>
      <c r="W70" s="5"/>
      <c r="X70" s="5"/>
      <c r="Y70" s="5"/>
      <c r="Z70" s="5"/>
    </row>
    <row r="71" spans="1:26" ht="15.75" customHeight="1">
      <c r="F71" s="1"/>
      <c r="H71" s="1"/>
      <c r="I71" s="31"/>
      <c r="J71" s="5"/>
      <c r="K71" s="5"/>
      <c r="L71" s="24"/>
      <c r="M71" s="16"/>
      <c r="N71" s="25"/>
      <c r="O71" s="16"/>
      <c r="P71" s="25"/>
      <c r="Q71" s="16"/>
      <c r="R71" s="16"/>
      <c r="S71" s="5"/>
      <c r="T71" s="5"/>
      <c r="U71" s="23"/>
      <c r="V71" s="5"/>
      <c r="W71" s="5"/>
      <c r="X71" s="5"/>
      <c r="Y71" s="5"/>
      <c r="Z71" s="5"/>
    </row>
    <row r="72" spans="1:26" ht="15.75" customHeight="1">
      <c r="A72" s="50" t="s">
        <v>98</v>
      </c>
      <c r="B72" s="51"/>
      <c r="C72" s="51"/>
      <c r="D72" s="51"/>
      <c r="E72" s="51"/>
      <c r="F72" s="1"/>
      <c r="H72" s="1"/>
      <c r="I72" s="31"/>
      <c r="J72" s="5"/>
      <c r="K72" s="5"/>
      <c r="L72" s="24"/>
      <c r="M72" s="16"/>
      <c r="N72" s="25"/>
      <c r="O72" s="16"/>
      <c r="P72" s="25"/>
      <c r="Q72" s="16"/>
      <c r="R72" s="16"/>
      <c r="S72" s="5"/>
      <c r="T72" s="5"/>
      <c r="U72" s="23"/>
      <c r="V72" s="5"/>
      <c r="W72" s="5"/>
      <c r="X72" s="5"/>
      <c r="Y72" s="5"/>
      <c r="Z72" s="5"/>
    </row>
    <row r="73" spans="1:26" ht="15.75" customHeight="1" thickBot="1">
      <c r="A73" s="51"/>
      <c r="B73" s="51"/>
      <c r="C73" s="51"/>
      <c r="D73" s="51"/>
      <c r="E73" s="51"/>
      <c r="F73" s="1"/>
      <c r="H73" s="1"/>
      <c r="I73" s="31"/>
      <c r="J73" s="5"/>
      <c r="K73" s="5"/>
      <c r="L73" s="24"/>
      <c r="M73" s="16"/>
      <c r="N73" s="25"/>
      <c r="O73" s="16"/>
      <c r="P73" s="25"/>
      <c r="Q73" s="16"/>
      <c r="R73" s="16"/>
      <c r="S73" s="5"/>
      <c r="T73" s="5"/>
      <c r="U73" s="23"/>
      <c r="V73" s="5"/>
      <c r="W73" s="5"/>
      <c r="X73" s="5"/>
      <c r="Y73" s="5"/>
      <c r="Z73" s="5"/>
    </row>
    <row r="74" spans="1:26" ht="15.75" customHeight="1" thickBot="1">
      <c r="A74" s="52">
        <v>44889</v>
      </c>
      <c r="B74" s="53"/>
      <c r="C74" s="54" t="s">
        <v>90</v>
      </c>
      <c r="D74" s="55">
        <v>257072249</v>
      </c>
      <c r="E74" s="55"/>
      <c r="F74" s="30"/>
      <c r="I74" s="31"/>
      <c r="J74" s="5"/>
      <c r="K74" s="5"/>
      <c r="L74" s="24"/>
      <c r="M74" s="16"/>
      <c r="N74" s="25"/>
      <c r="O74" s="16"/>
      <c r="P74" s="25"/>
      <c r="Q74" s="16"/>
      <c r="R74" s="16"/>
      <c r="S74" s="5"/>
      <c r="T74" s="5"/>
      <c r="U74" s="23"/>
      <c r="V74" s="5"/>
      <c r="W74" s="5"/>
      <c r="X74" s="5"/>
      <c r="Y74" s="5"/>
      <c r="Z74" s="5"/>
    </row>
    <row r="75" spans="1:26" ht="15.75" customHeight="1" thickBot="1">
      <c r="A75" s="52">
        <v>44889</v>
      </c>
      <c r="B75" s="53"/>
      <c r="C75" s="54" t="s">
        <v>91</v>
      </c>
      <c r="D75" s="55">
        <v>227233506</v>
      </c>
      <c r="E75" s="55"/>
      <c r="F75" s="30"/>
      <c r="I75" s="31"/>
      <c r="J75" s="5"/>
      <c r="K75" s="5"/>
      <c r="L75" s="24"/>
      <c r="M75" s="16"/>
      <c r="N75" s="25"/>
      <c r="O75" s="16"/>
      <c r="P75" s="25"/>
      <c r="Q75" s="16"/>
      <c r="R75" s="16"/>
      <c r="S75" s="5"/>
      <c r="T75" s="5"/>
      <c r="U75" s="23"/>
      <c r="V75" s="5"/>
      <c r="W75" s="5"/>
      <c r="X75" s="5"/>
      <c r="Y75" s="5"/>
      <c r="Z75" s="5"/>
    </row>
    <row r="76" spans="1:26" ht="15.75" customHeight="1" thickBot="1">
      <c r="A76" s="52">
        <v>44889</v>
      </c>
      <c r="B76" s="53"/>
      <c r="C76" s="54" t="s">
        <v>92</v>
      </c>
      <c r="D76" s="55">
        <v>296857240</v>
      </c>
      <c r="E76" s="55"/>
      <c r="F76" s="30"/>
      <c r="G76" s="5"/>
      <c r="H76" s="9"/>
      <c r="I76" s="31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23"/>
      <c r="V76" s="5"/>
      <c r="W76" s="5"/>
      <c r="X76" s="5"/>
      <c r="Y76" s="5"/>
      <c r="Z76" s="5"/>
    </row>
    <row r="77" spans="1:26" ht="15.75" customHeight="1">
      <c r="A77" s="56">
        <v>44889</v>
      </c>
      <c r="B77" s="57"/>
      <c r="C77" s="58" t="s">
        <v>93</v>
      </c>
      <c r="D77" s="59">
        <v>332364649</v>
      </c>
      <c r="E77" s="59"/>
      <c r="F77" s="44"/>
      <c r="G77" s="42"/>
      <c r="H77" s="47"/>
      <c r="I77" s="3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23"/>
      <c r="V77" s="5"/>
      <c r="W77" s="5"/>
      <c r="X77" s="5"/>
      <c r="Y77" s="5"/>
      <c r="Z77" s="5"/>
    </row>
    <row r="78" spans="1:26" ht="15.75" customHeight="1" thickBot="1">
      <c r="A78" s="60"/>
      <c r="B78" s="53"/>
      <c r="C78" s="54"/>
      <c r="D78" s="61">
        <f>SUM(D74:D77)</f>
        <v>1113527644</v>
      </c>
      <c r="E78" s="55"/>
      <c r="F78" s="30"/>
      <c r="G78" s="5"/>
      <c r="H78" s="9"/>
      <c r="I78" s="3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23"/>
      <c r="V78" s="5"/>
      <c r="W78" s="5"/>
      <c r="X78" s="5"/>
      <c r="Y78" s="5"/>
      <c r="Z78" s="5"/>
    </row>
    <row r="79" spans="1:26" ht="15.75" customHeight="1" thickBot="1">
      <c r="A79" s="52"/>
      <c r="B79" s="53"/>
      <c r="C79" s="54"/>
      <c r="D79" s="59"/>
      <c r="E79" s="59"/>
      <c r="F79" s="30"/>
      <c r="G79" s="5"/>
      <c r="H79" s="9"/>
      <c r="I79" s="3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23"/>
      <c r="V79" s="5"/>
      <c r="W79" s="5"/>
      <c r="X79" s="5"/>
      <c r="Y79" s="5"/>
      <c r="Z79" s="5"/>
    </row>
    <row r="80" spans="1:26" ht="15.75" customHeight="1" thickBot="1">
      <c r="A80" s="52"/>
      <c r="B80" s="53"/>
      <c r="C80" s="54"/>
      <c r="D80" s="62" t="s">
        <v>99</v>
      </c>
      <c r="E80" s="63">
        <f>E70+D78</f>
        <v>1341490100</v>
      </c>
      <c r="F80" s="30"/>
      <c r="G80" s="5"/>
      <c r="H80" s="9"/>
      <c r="I80" s="3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23"/>
      <c r="V80" s="5"/>
      <c r="W80" s="5"/>
      <c r="X80" s="5"/>
      <c r="Y80" s="5"/>
      <c r="Z80" s="5"/>
    </row>
    <row r="81" spans="1:26" ht="15.75" customHeight="1" thickBot="1">
      <c r="A81" s="28"/>
      <c r="B81" s="5"/>
      <c r="C81" s="29"/>
      <c r="D81" s="30"/>
      <c r="E81" s="30"/>
      <c r="F81" s="30"/>
      <c r="G81" s="5"/>
      <c r="H81" s="9"/>
      <c r="I81" s="31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23"/>
      <c r="V81" s="5"/>
      <c r="W81" s="5"/>
      <c r="X81" s="5"/>
      <c r="Y81" s="5"/>
      <c r="Z81" s="5"/>
    </row>
    <row r="82" spans="1:26" ht="15.75" customHeight="1" thickBot="1">
      <c r="A82" s="28"/>
      <c r="B82" s="5"/>
      <c r="C82" s="29"/>
      <c r="D82" s="30"/>
      <c r="E82" s="30"/>
      <c r="F82" s="30"/>
      <c r="G82" s="5"/>
      <c r="H82" s="9"/>
      <c r="I82" s="3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23"/>
      <c r="V82" s="5"/>
      <c r="W82" s="5"/>
      <c r="X82" s="5"/>
      <c r="Y82" s="5"/>
      <c r="Z82" s="5"/>
    </row>
    <row r="83" spans="1:26" ht="65.25" customHeight="1">
      <c r="A83" s="64" t="s">
        <v>95</v>
      </c>
      <c r="B83" s="64" t="s">
        <v>94</v>
      </c>
      <c r="C83" s="67" t="s">
        <v>96</v>
      </c>
      <c r="D83" s="30"/>
      <c r="E83" s="30"/>
      <c r="F83" s="30"/>
      <c r="G83" s="5"/>
      <c r="H83" s="9"/>
      <c r="I83" s="31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23"/>
      <c r="V83" s="5"/>
      <c r="W83" s="5"/>
      <c r="X83" s="5"/>
      <c r="Y83" s="5"/>
      <c r="Z83" s="5"/>
    </row>
    <row r="84" spans="1:26" ht="15.75" customHeight="1" thickBot="1">
      <c r="A84" s="65">
        <v>196</v>
      </c>
      <c r="B84" s="65">
        <v>28</v>
      </c>
      <c r="C84" s="66">
        <v>5488</v>
      </c>
      <c r="D84" s="68" t="s">
        <v>97</v>
      </c>
      <c r="E84" s="30"/>
      <c r="F84" s="30"/>
      <c r="G84" s="5"/>
      <c r="H84" s="9"/>
      <c r="I84" s="3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23"/>
      <c r="V84" s="5"/>
      <c r="W84" s="5"/>
      <c r="X84" s="5"/>
      <c r="Y84" s="5"/>
      <c r="Z84" s="5"/>
    </row>
    <row r="85" spans="1:26" ht="15.75" customHeight="1" thickTop="1">
      <c r="A85" s="12"/>
      <c r="B85" s="5"/>
      <c r="C85" s="29"/>
      <c r="D85" s="30"/>
      <c r="E85" s="30"/>
      <c r="F85" s="30"/>
      <c r="G85" s="5"/>
      <c r="H85" s="9"/>
      <c r="I85" s="31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23"/>
      <c r="V85" s="5"/>
      <c r="W85" s="5"/>
      <c r="X85" s="5"/>
      <c r="Y85" s="5"/>
      <c r="Z85" s="5"/>
    </row>
    <row r="86" spans="1:26" ht="15.75" customHeight="1">
      <c r="A86" s="12"/>
      <c r="B86" s="5"/>
      <c r="C86" s="29"/>
      <c r="D86" s="30"/>
      <c r="E86" s="30"/>
      <c r="F86" s="30"/>
      <c r="G86" s="5"/>
      <c r="H86" s="9"/>
      <c r="I86" s="31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23"/>
      <c r="V86" s="5"/>
      <c r="W86" s="5"/>
      <c r="X86" s="5"/>
      <c r="Y86" s="5"/>
      <c r="Z86" s="5"/>
    </row>
    <row r="87" spans="1:26" ht="15.75" customHeight="1">
      <c r="A87" s="12"/>
      <c r="B87" s="5"/>
      <c r="C87" s="29"/>
      <c r="D87" s="30"/>
      <c r="E87" s="30"/>
      <c r="F87" s="30"/>
      <c r="G87" s="5"/>
      <c r="H87" s="9"/>
      <c r="I87" s="31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23"/>
      <c r="V87" s="5"/>
      <c r="W87" s="5"/>
      <c r="X87" s="5"/>
      <c r="Y87" s="5"/>
      <c r="Z87" s="5"/>
    </row>
    <row r="88" spans="1:26" ht="15.75" customHeight="1">
      <c r="A88" s="12"/>
      <c r="B88" s="5"/>
      <c r="C88" s="29"/>
      <c r="D88" s="30"/>
      <c r="E88" s="30"/>
      <c r="F88" s="30"/>
      <c r="G88" s="5"/>
      <c r="H88" s="9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23"/>
      <c r="V88" s="5"/>
      <c r="W88" s="5"/>
      <c r="X88" s="5"/>
      <c r="Y88" s="5"/>
      <c r="Z88" s="5"/>
    </row>
    <row r="89" spans="1:26" ht="15.75" customHeight="1">
      <c r="A89" s="12"/>
      <c r="B89" s="5"/>
      <c r="C89" s="29"/>
      <c r="D89" s="30"/>
      <c r="E89" s="30"/>
      <c r="F89" s="30"/>
      <c r="G89" s="5"/>
      <c r="H89" s="9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23"/>
      <c r="V89" s="5"/>
      <c r="W89" s="5"/>
      <c r="X89" s="5"/>
      <c r="Y89" s="5"/>
      <c r="Z89" s="5"/>
    </row>
    <row r="90" spans="1:26" ht="15.75" customHeight="1">
      <c r="A90" s="12"/>
      <c r="B90" s="5"/>
      <c r="C90" s="29"/>
      <c r="D90" s="30"/>
      <c r="E90" s="30"/>
      <c r="F90" s="30"/>
      <c r="G90" s="5"/>
      <c r="H90" s="9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23"/>
      <c r="V90" s="5"/>
      <c r="W90" s="5"/>
      <c r="X90" s="5"/>
      <c r="Y90" s="5"/>
      <c r="Z90" s="5"/>
    </row>
    <row r="91" spans="1:26" ht="15.75" customHeight="1">
      <c r="A91" s="12"/>
      <c r="B91" s="5"/>
      <c r="C91" s="29"/>
      <c r="D91" s="30"/>
      <c r="E91" s="30"/>
      <c r="F91" s="30"/>
      <c r="G91" s="5"/>
      <c r="H91" s="9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23"/>
      <c r="V91" s="5"/>
      <c r="W91" s="5"/>
      <c r="X91" s="5"/>
      <c r="Y91" s="5"/>
      <c r="Z91" s="5"/>
    </row>
    <row r="92" spans="1:26" ht="15.75" customHeight="1">
      <c r="A92" s="12"/>
      <c r="B92" s="5"/>
      <c r="C92" s="29"/>
      <c r="D92" s="30"/>
      <c r="E92" s="30"/>
      <c r="F92" s="30"/>
      <c r="G92" s="5"/>
      <c r="H92" s="9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23"/>
      <c r="V92" s="5"/>
      <c r="W92" s="5"/>
      <c r="X92" s="5"/>
      <c r="Y92" s="5"/>
      <c r="Z92" s="5"/>
    </row>
    <row r="93" spans="1:26" ht="15.75" customHeight="1">
      <c r="A93" s="12"/>
      <c r="B93" s="5"/>
      <c r="C93" s="29"/>
      <c r="D93" s="30"/>
      <c r="E93" s="30"/>
      <c r="F93" s="30"/>
      <c r="G93" s="5"/>
      <c r="H93" s="9"/>
      <c r="K93" s="5"/>
      <c r="L93" s="5"/>
      <c r="M93" s="5"/>
      <c r="N93" s="5"/>
      <c r="O93" s="5"/>
      <c r="P93" s="5"/>
      <c r="Q93" s="5"/>
      <c r="R93" s="5"/>
      <c r="S93" s="5"/>
      <c r="T93" s="5"/>
      <c r="U93" s="23"/>
      <c r="V93" s="5"/>
      <c r="W93" s="5"/>
      <c r="X93" s="5"/>
      <c r="Y93" s="5"/>
      <c r="Z93" s="5"/>
    </row>
    <row r="94" spans="1:26" ht="15.75" customHeight="1">
      <c r="A94" s="12"/>
      <c r="B94" s="5"/>
      <c r="C94" s="29"/>
      <c r="D94" s="30"/>
      <c r="E94" s="30"/>
      <c r="F94" s="30"/>
      <c r="G94" s="5"/>
      <c r="H94" s="9"/>
      <c r="K94" s="5"/>
      <c r="L94" s="5"/>
      <c r="M94" s="5"/>
      <c r="N94" s="5"/>
      <c r="O94" s="5"/>
      <c r="P94" s="5"/>
      <c r="Q94" s="5"/>
      <c r="R94" s="5"/>
      <c r="S94" s="5"/>
      <c r="T94" s="5"/>
      <c r="U94" s="23"/>
      <c r="V94" s="5"/>
      <c r="W94" s="5"/>
      <c r="X94" s="5"/>
      <c r="Y94" s="5"/>
      <c r="Z94" s="5"/>
    </row>
    <row r="95" spans="1:26" ht="15.75" customHeight="1">
      <c r="A95" s="12"/>
      <c r="B95" s="5"/>
      <c r="C95" s="29"/>
      <c r="D95" s="30"/>
      <c r="E95" s="30"/>
      <c r="F95" s="30"/>
      <c r="G95" s="5"/>
      <c r="H95" s="9"/>
      <c r="K95" s="5"/>
      <c r="L95" s="5"/>
      <c r="M95" s="5"/>
      <c r="N95" s="5"/>
      <c r="O95" s="5"/>
      <c r="P95" s="5"/>
      <c r="Q95" s="5"/>
      <c r="R95" s="5"/>
      <c r="S95" s="5"/>
      <c r="T95" s="5"/>
      <c r="U95" s="23"/>
      <c r="V95" s="5"/>
      <c r="W95" s="5"/>
      <c r="X95" s="5"/>
      <c r="Y95" s="5"/>
      <c r="Z95" s="5"/>
    </row>
    <row r="96" spans="1:26" ht="15.75" customHeight="1">
      <c r="A96" s="12"/>
      <c r="B96" s="5"/>
      <c r="C96" s="29"/>
      <c r="D96" s="30"/>
      <c r="E96" s="30"/>
      <c r="F96" s="30"/>
      <c r="G96" s="5"/>
      <c r="H96" s="9"/>
      <c r="K96" s="5"/>
      <c r="L96" s="5"/>
      <c r="M96" s="5"/>
      <c r="N96" s="5"/>
      <c r="O96" s="5"/>
      <c r="P96" s="5"/>
      <c r="Q96" s="5"/>
      <c r="R96" s="5"/>
      <c r="S96" s="5"/>
      <c r="T96" s="5"/>
      <c r="U96" s="23"/>
      <c r="V96" s="5"/>
      <c r="W96" s="5"/>
      <c r="X96" s="5"/>
      <c r="Y96" s="5"/>
      <c r="Z96" s="5"/>
    </row>
    <row r="97" spans="1:26" ht="15.75" customHeight="1">
      <c r="A97" s="12"/>
      <c r="B97" s="5"/>
      <c r="C97" s="29"/>
      <c r="D97" s="30"/>
      <c r="E97" s="30"/>
      <c r="F97" s="30"/>
      <c r="G97" s="5"/>
      <c r="H97" s="9"/>
      <c r="K97" s="5"/>
      <c r="L97" s="5"/>
      <c r="M97" s="5"/>
      <c r="N97" s="5"/>
      <c r="O97" s="5"/>
      <c r="P97" s="5"/>
      <c r="Q97" s="5"/>
      <c r="R97" s="5"/>
      <c r="S97" s="5"/>
      <c r="T97" s="5"/>
      <c r="U97" s="23"/>
      <c r="V97" s="5"/>
      <c r="W97" s="5"/>
      <c r="X97" s="5"/>
      <c r="Y97" s="5"/>
      <c r="Z97" s="5"/>
    </row>
    <row r="98" spans="1:26" ht="15.75" customHeight="1">
      <c r="A98" s="12"/>
      <c r="B98" s="5"/>
      <c r="C98" s="29"/>
      <c r="D98" s="30"/>
      <c r="E98" s="30"/>
      <c r="F98" s="30"/>
      <c r="G98" s="5"/>
      <c r="H98" s="9"/>
      <c r="K98" s="5"/>
      <c r="L98" s="5"/>
      <c r="M98" s="5"/>
      <c r="N98" s="5"/>
      <c r="O98" s="5"/>
      <c r="P98" s="5"/>
      <c r="Q98" s="5"/>
      <c r="R98" s="5"/>
      <c r="S98" s="5"/>
      <c r="T98" s="5"/>
      <c r="U98" s="23"/>
      <c r="V98" s="5"/>
      <c r="W98" s="5"/>
      <c r="X98" s="5"/>
      <c r="Y98" s="5"/>
      <c r="Z98" s="5"/>
    </row>
    <row r="99" spans="1:26" ht="15.75" customHeight="1">
      <c r="B99" s="5"/>
      <c r="C99" s="29"/>
      <c r="D99" s="30"/>
      <c r="E99" s="30"/>
      <c r="F99" s="30"/>
      <c r="G99" s="5"/>
      <c r="H99" s="9"/>
      <c r="K99" s="5"/>
      <c r="L99" s="5"/>
      <c r="M99" s="5"/>
      <c r="N99" s="5"/>
      <c r="O99" s="5"/>
      <c r="P99" s="5"/>
      <c r="Q99" s="5"/>
      <c r="R99" s="5"/>
      <c r="S99" s="5"/>
      <c r="T99" s="5"/>
      <c r="U99" s="23"/>
      <c r="V99" s="5"/>
      <c r="W99" s="5"/>
      <c r="X99" s="5"/>
      <c r="Y99" s="5"/>
      <c r="Z99" s="5"/>
    </row>
    <row r="100" spans="1:26" ht="15.75" customHeight="1">
      <c r="B100" s="5"/>
      <c r="C100" s="29"/>
      <c r="D100" s="30"/>
      <c r="E100" s="30"/>
      <c r="F100" s="30"/>
      <c r="G100" s="5"/>
      <c r="H100" s="9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B101" s="5"/>
      <c r="C101" s="29"/>
      <c r="D101" s="30"/>
      <c r="E101" s="30"/>
      <c r="F101" s="30"/>
      <c r="G101" s="5"/>
      <c r="H101" s="9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C102" s="29"/>
      <c r="D102" s="30"/>
      <c r="E102" s="30"/>
      <c r="F102" s="30"/>
      <c r="H102" s="8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C103" s="29"/>
      <c r="D103" s="30"/>
      <c r="E103" s="30"/>
      <c r="F103" s="30"/>
      <c r="H103" s="8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C104" s="29"/>
      <c r="D104" s="30"/>
      <c r="E104" s="30"/>
      <c r="F104" s="30"/>
      <c r="H104" s="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C105" s="29"/>
      <c r="D105" s="30"/>
      <c r="E105" s="30"/>
      <c r="F105" s="30"/>
      <c r="H105" s="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C106" s="29"/>
      <c r="D106" s="30"/>
      <c r="E106" s="30"/>
      <c r="F106" s="30"/>
      <c r="H106" s="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C107" s="29"/>
      <c r="D107" s="30"/>
      <c r="E107" s="30"/>
      <c r="F107" s="30"/>
      <c r="H107" s="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C108" s="29"/>
      <c r="D108" s="30"/>
      <c r="E108" s="30"/>
      <c r="F108" s="30"/>
      <c r="H108" s="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C109" s="29"/>
      <c r="D109" s="30"/>
      <c r="E109" s="30"/>
      <c r="F109" s="30"/>
      <c r="H109" s="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C110" s="29"/>
      <c r="D110" s="30"/>
      <c r="E110" s="30"/>
      <c r="F110" s="30"/>
      <c r="H110" s="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C111" s="29"/>
      <c r="D111" s="30"/>
      <c r="E111" s="30"/>
      <c r="F111" s="30"/>
      <c r="H111" s="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C112" s="29"/>
      <c r="D112" s="30"/>
      <c r="E112" s="30"/>
      <c r="F112" s="30"/>
      <c r="H112" s="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3:26" ht="15.75" customHeight="1">
      <c r="C113" s="29"/>
      <c r="D113" s="30"/>
      <c r="E113" s="30"/>
      <c r="F113" s="30"/>
      <c r="H113" s="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3:26" ht="15.75" customHeight="1">
      <c r="C114" s="29"/>
      <c r="D114" s="30"/>
      <c r="E114" s="30"/>
      <c r="F114" s="30"/>
      <c r="H114" s="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3:26" ht="15.75" customHeight="1">
      <c r="C115" s="29"/>
      <c r="D115" s="30"/>
      <c r="E115" s="30"/>
      <c r="F115" s="30"/>
      <c r="H115" s="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3:26" ht="15.75" customHeight="1">
      <c r="C116" s="29"/>
      <c r="D116" s="30"/>
      <c r="E116" s="30"/>
      <c r="F116" s="30"/>
      <c r="H116" s="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3:26" ht="15.75" customHeight="1">
      <c r="C117" s="29"/>
      <c r="D117" s="30"/>
      <c r="E117" s="30"/>
      <c r="F117" s="30"/>
      <c r="H117" s="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3:26" ht="15.75" customHeight="1">
      <c r="C118" s="29"/>
      <c r="D118" s="30"/>
      <c r="E118" s="30"/>
      <c r="F118" s="30"/>
      <c r="H118" s="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3:26" ht="15.75" customHeight="1">
      <c r="C119" s="29"/>
      <c r="D119" s="30"/>
      <c r="E119" s="30"/>
      <c r="F119" s="30"/>
      <c r="H119" s="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3:26" ht="15.75" customHeight="1">
      <c r="C120" s="29"/>
      <c r="D120" s="30"/>
      <c r="E120" s="30"/>
      <c r="F120" s="30"/>
      <c r="H120" s="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3:26" ht="15.75" customHeight="1">
      <c r="C121" s="29"/>
      <c r="D121" s="30"/>
      <c r="E121" s="30"/>
      <c r="F121" s="30"/>
      <c r="H121" s="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3:26" ht="15.75" customHeight="1">
      <c r="C122" s="29"/>
      <c r="D122" s="30"/>
      <c r="E122" s="30"/>
      <c r="F122" s="30"/>
      <c r="H122" s="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3:26" ht="15.75" customHeight="1">
      <c r="C123" s="29"/>
      <c r="D123" s="30"/>
      <c r="E123" s="30"/>
      <c r="F123" s="30"/>
      <c r="H123" s="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3:26" ht="15.75" customHeight="1">
      <c r="C124" s="29"/>
      <c r="D124" s="30"/>
      <c r="E124" s="30"/>
      <c r="F124" s="30"/>
      <c r="H124" s="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3:26" ht="15.75" customHeight="1">
      <c r="C125" s="29"/>
      <c r="D125" s="30"/>
      <c r="E125" s="30"/>
      <c r="F125" s="30"/>
      <c r="H125" s="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3:26" ht="15.75" customHeight="1">
      <c r="C126" s="29"/>
      <c r="D126" s="30"/>
      <c r="E126" s="30"/>
      <c r="F126" s="30"/>
      <c r="H126" s="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3:26" ht="15.75" customHeight="1">
      <c r="C127" s="29"/>
      <c r="D127" s="30"/>
      <c r="E127" s="30"/>
      <c r="F127" s="30"/>
      <c r="H127" s="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3:26" ht="15.75" customHeight="1">
      <c r="C128" s="29"/>
      <c r="D128" s="30"/>
      <c r="E128" s="30"/>
      <c r="F128" s="30"/>
      <c r="H128" s="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3:26" ht="15.75" customHeight="1">
      <c r="C129" s="29"/>
      <c r="D129" s="30"/>
      <c r="E129" s="30"/>
      <c r="F129" s="30"/>
      <c r="H129" s="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3:26" ht="15.75" customHeight="1">
      <c r="C130" s="29"/>
      <c r="D130" s="30"/>
      <c r="E130" s="30"/>
      <c r="F130" s="30"/>
      <c r="H130" s="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3:26" ht="15.75" customHeight="1">
      <c r="C131" s="29"/>
      <c r="D131" s="30"/>
      <c r="E131" s="30"/>
      <c r="F131" s="30"/>
      <c r="H131" s="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3:26" ht="15.75" customHeight="1">
      <c r="C132" s="29"/>
      <c r="D132" s="30"/>
      <c r="E132" s="30"/>
      <c r="F132" s="30"/>
      <c r="H132" s="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3:26" ht="15.75" customHeight="1">
      <c r="C133" s="29"/>
      <c r="D133" s="30"/>
      <c r="E133" s="30"/>
      <c r="F133" s="30"/>
      <c r="H133" s="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3:26" ht="15.75" customHeight="1">
      <c r="C134" s="29"/>
      <c r="D134" s="30"/>
      <c r="E134" s="30"/>
      <c r="F134" s="30"/>
      <c r="H134" s="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3:26" ht="15.75" customHeight="1">
      <c r="C135" s="29"/>
      <c r="D135" s="30"/>
      <c r="E135" s="30"/>
      <c r="F135" s="30"/>
      <c r="H135" s="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3:26" ht="15.75" customHeight="1">
      <c r="C136" s="29"/>
      <c r="D136" s="30"/>
      <c r="E136" s="30"/>
      <c r="F136" s="30"/>
      <c r="H136" s="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3:26" ht="15.75" customHeight="1">
      <c r="C137" s="29"/>
      <c r="D137" s="30"/>
      <c r="E137" s="30"/>
      <c r="F137" s="30"/>
      <c r="H137" s="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3:26" ht="15.75" customHeight="1">
      <c r="C138" s="29"/>
      <c r="D138" s="30"/>
      <c r="E138" s="30"/>
      <c r="F138" s="30"/>
      <c r="H138" s="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3:26" ht="15.75" customHeight="1">
      <c r="C139" s="29"/>
      <c r="D139" s="30"/>
      <c r="E139" s="30"/>
      <c r="F139" s="30"/>
      <c r="H139" s="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3:26" ht="15.75" customHeight="1">
      <c r="C140" s="29"/>
      <c r="D140" s="30"/>
      <c r="E140" s="30"/>
      <c r="F140" s="30"/>
      <c r="H140" s="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3:26" ht="15.75" customHeight="1">
      <c r="C141" s="29"/>
      <c r="D141" s="30"/>
      <c r="E141" s="30"/>
      <c r="F141" s="30"/>
      <c r="H141" s="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3:26" ht="15.75" customHeight="1">
      <c r="C142" s="29"/>
      <c r="D142" s="30"/>
      <c r="E142" s="30"/>
      <c r="F142" s="30"/>
      <c r="H142" s="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3:26" ht="15.75" customHeight="1">
      <c r="C143" s="29"/>
      <c r="D143" s="30"/>
      <c r="E143" s="30"/>
      <c r="F143" s="30"/>
      <c r="H143" s="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3:26" ht="15.75" customHeight="1">
      <c r="C144" s="29"/>
      <c r="D144" s="30"/>
      <c r="E144" s="30"/>
      <c r="F144" s="30"/>
      <c r="H144" s="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3:26" ht="15.75" customHeight="1">
      <c r="C145" s="29"/>
      <c r="D145" s="30"/>
      <c r="E145" s="30"/>
      <c r="F145" s="30"/>
      <c r="H145" s="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3:26" ht="15.75" customHeight="1">
      <c r="C146" s="29"/>
      <c r="D146" s="30"/>
      <c r="E146" s="30"/>
      <c r="F146" s="30"/>
      <c r="H146" s="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3:26" ht="15.75" customHeight="1">
      <c r="C147" s="29"/>
      <c r="D147" s="30"/>
      <c r="E147" s="30"/>
      <c r="F147" s="30"/>
      <c r="H147" s="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3:26" ht="15.75" customHeight="1">
      <c r="C148" s="29"/>
      <c r="D148" s="30"/>
      <c r="E148" s="30"/>
      <c r="F148" s="30"/>
      <c r="H148" s="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3:26" ht="15.75" customHeight="1">
      <c r="C149" s="29"/>
      <c r="D149" s="30"/>
      <c r="E149" s="30"/>
      <c r="F149" s="30"/>
      <c r="H149" s="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3:26" ht="15.75" customHeight="1">
      <c r="C150" s="29"/>
      <c r="D150" s="30"/>
      <c r="E150" s="30"/>
      <c r="F150" s="30"/>
      <c r="H150" s="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3:26" ht="15.75" customHeight="1">
      <c r="D151" s="30"/>
      <c r="E151" s="30"/>
      <c r="F151" s="30"/>
      <c r="H151" s="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3:26" ht="15.75" customHeight="1">
      <c r="D152" s="30"/>
      <c r="E152" s="30"/>
      <c r="F152" s="30"/>
      <c r="H152" s="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3:26" ht="15.75" customHeight="1">
      <c r="D153" s="30"/>
      <c r="E153" s="30"/>
      <c r="F153" s="30"/>
      <c r="H153" s="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3:26" ht="15.75" customHeight="1">
      <c r="D154" s="30"/>
      <c r="E154" s="30"/>
      <c r="F154" s="30"/>
      <c r="H154" s="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3:26" ht="15.75" customHeight="1">
      <c r="D155" s="30"/>
      <c r="E155" s="30"/>
      <c r="F155" s="30"/>
      <c r="H155" s="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3:26" ht="15.75" customHeight="1">
      <c r="D156" s="30"/>
      <c r="E156" s="30"/>
      <c r="F156" s="30"/>
      <c r="H156" s="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3:26" ht="15.75" customHeight="1">
      <c r="D157" s="30"/>
      <c r="E157" s="30"/>
      <c r="F157" s="30"/>
      <c r="H157" s="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3:26" ht="15.75" customHeight="1">
      <c r="D158" s="30"/>
      <c r="E158" s="30"/>
      <c r="F158" s="30"/>
      <c r="H158" s="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3:26" ht="15.75" customHeight="1">
      <c r="D159" s="30"/>
      <c r="E159" s="30"/>
      <c r="F159" s="30"/>
      <c r="H159" s="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3:26" ht="15.75" customHeight="1">
      <c r="D160" s="30"/>
      <c r="E160" s="30"/>
      <c r="F160" s="30"/>
      <c r="H160" s="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4:26" ht="15.75" customHeight="1">
      <c r="D161" s="30"/>
      <c r="E161" s="30"/>
      <c r="F161" s="30"/>
      <c r="H161" s="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4:26" ht="15.75" customHeight="1">
      <c r="D162" s="30"/>
      <c r="E162" s="30"/>
      <c r="F162" s="30"/>
      <c r="H162" s="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4:26" ht="15.75" customHeight="1">
      <c r="D163" s="30"/>
      <c r="E163" s="30"/>
      <c r="F163" s="30"/>
      <c r="H163" s="8"/>
      <c r="I163" s="40"/>
      <c r="J163" s="40"/>
      <c r="K163" s="40"/>
      <c r="L163" s="1"/>
      <c r="M163" s="40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4:26" ht="15.75" customHeight="1">
      <c r="D164" s="30"/>
      <c r="E164" s="30"/>
      <c r="F164" s="30"/>
      <c r="H164" s="8"/>
      <c r="J164" s="1"/>
      <c r="K164" s="1"/>
      <c r="L164" s="1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4:26" ht="15.75" customHeight="1">
      <c r="D165" s="30"/>
      <c r="E165" s="30"/>
      <c r="F165" s="30"/>
      <c r="H165" s="8"/>
      <c r="J165" s="1"/>
      <c r="K165" s="1"/>
      <c r="L165" s="1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4:26" ht="15.75" customHeight="1">
      <c r="D166" s="30"/>
      <c r="E166" s="30"/>
      <c r="F166" s="30"/>
      <c r="H166" s="8"/>
      <c r="J166" s="1"/>
      <c r="K166" s="1"/>
      <c r="L166" s="1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4:26" ht="15.75" customHeight="1">
      <c r="D167" s="30"/>
      <c r="E167" s="30"/>
      <c r="F167" s="30"/>
      <c r="H167" s="8"/>
      <c r="J167" s="1"/>
      <c r="K167" s="1"/>
      <c r="L167" s="1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4:26" ht="15.75" customHeight="1">
      <c r="D168" s="30"/>
      <c r="E168" s="30"/>
      <c r="F168" s="30"/>
      <c r="H168" s="8"/>
      <c r="J168" s="1"/>
      <c r="K168" s="1"/>
      <c r="L168" s="1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4:26" ht="15.75" customHeight="1">
      <c r="D169" s="30"/>
      <c r="E169" s="30"/>
      <c r="F169" s="30"/>
      <c r="H169" s="8"/>
      <c r="J169" s="1"/>
      <c r="K169" s="1"/>
      <c r="L169" s="1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4:26" ht="15.75" customHeight="1">
      <c r="D170" s="30"/>
      <c r="E170" s="30"/>
      <c r="F170" s="30"/>
      <c r="H170" s="8"/>
      <c r="J170" s="1"/>
      <c r="K170" s="1"/>
      <c r="L170" s="1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4:26" ht="15.75" customHeight="1">
      <c r="D171" s="30"/>
      <c r="E171" s="30"/>
      <c r="F171" s="30"/>
      <c r="H171" s="8"/>
      <c r="J171" s="1"/>
      <c r="K171" s="1"/>
      <c r="L171" s="1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4:26" ht="15.75" customHeight="1">
      <c r="D172" s="30"/>
      <c r="E172" s="30"/>
      <c r="F172" s="30"/>
      <c r="H172" s="8"/>
      <c r="J172" s="1"/>
      <c r="K172" s="69"/>
      <c r="L172" s="69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4:26" ht="15.75" customHeight="1">
      <c r="D173" s="30"/>
      <c r="E173" s="30"/>
      <c r="F173" s="30"/>
      <c r="H173" s="8"/>
      <c r="J173" s="1"/>
      <c r="K173" s="69"/>
      <c r="L173" s="69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4:26" ht="15.75" customHeight="1">
      <c r="D174" s="30"/>
      <c r="E174" s="30"/>
      <c r="F174" s="30"/>
      <c r="H174" s="8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4:26" ht="15.75" customHeight="1">
      <c r="D175" s="30"/>
      <c r="E175" s="30"/>
      <c r="F175" s="30"/>
      <c r="H175" s="8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4:26" ht="15.75" customHeight="1">
      <c r="D176" s="30"/>
      <c r="E176" s="30"/>
      <c r="F176" s="30"/>
      <c r="H176" s="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4:26" ht="15.75" customHeight="1">
      <c r="D177" s="30"/>
      <c r="E177" s="30"/>
      <c r="F177" s="30"/>
      <c r="H177" s="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4:26" ht="15.75" customHeight="1">
      <c r="D178" s="30"/>
      <c r="E178" s="30"/>
      <c r="F178" s="30"/>
      <c r="H178" s="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4:26" ht="15.75" customHeight="1">
      <c r="D179" s="30"/>
      <c r="E179" s="30"/>
      <c r="F179" s="30"/>
      <c r="H179" s="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4:26" ht="15.75" customHeight="1">
      <c r="D180" s="30"/>
      <c r="E180" s="30"/>
      <c r="F180" s="30"/>
      <c r="H180" s="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4:26" ht="15.75" customHeight="1">
      <c r="D181" s="30"/>
      <c r="E181" s="30"/>
      <c r="F181" s="30"/>
      <c r="H181" s="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4:26" ht="15.75" customHeight="1">
      <c r="D182" s="30"/>
      <c r="E182" s="30"/>
      <c r="F182" s="30"/>
      <c r="H182" s="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4:26" ht="15.75" customHeight="1">
      <c r="D183" s="30"/>
      <c r="E183" s="30"/>
      <c r="F183" s="30"/>
      <c r="H183" s="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4:26" ht="15.75" customHeight="1">
      <c r="D184" s="30"/>
      <c r="E184" s="30"/>
      <c r="F184" s="30"/>
      <c r="H184" s="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4:26" ht="15.75" customHeight="1">
      <c r="D185" s="30"/>
      <c r="E185" s="30"/>
      <c r="F185" s="30"/>
      <c r="H185" s="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4:26" ht="15.75" customHeight="1">
      <c r="D186" s="30"/>
      <c r="E186" s="30"/>
      <c r="F186" s="30"/>
      <c r="H186" s="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4:26" ht="15.75" customHeight="1">
      <c r="D187" s="30"/>
      <c r="E187" s="30"/>
      <c r="F187" s="30"/>
      <c r="H187" s="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4:26" ht="15.75" customHeight="1">
      <c r="D188" s="30"/>
      <c r="E188" s="30"/>
      <c r="F188" s="30"/>
      <c r="H188" s="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4:26" ht="15.75" customHeight="1">
      <c r="D189" s="30"/>
      <c r="E189" s="30"/>
      <c r="F189" s="30"/>
      <c r="H189" s="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4:26" ht="15.75" customHeight="1">
      <c r="D190" s="30"/>
      <c r="E190" s="30"/>
      <c r="F190" s="30"/>
      <c r="H190" s="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4:26" ht="15.75" customHeight="1">
      <c r="D191" s="30"/>
      <c r="E191" s="30"/>
      <c r="F191" s="30"/>
      <c r="H191" s="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4:26" ht="15.75" customHeight="1">
      <c r="D192" s="30"/>
      <c r="E192" s="30"/>
      <c r="F192" s="30"/>
      <c r="H192" s="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4:26" ht="15.75" customHeight="1">
      <c r="D193" s="30"/>
      <c r="E193" s="30"/>
      <c r="F193" s="30"/>
      <c r="H193" s="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4:26" ht="15.75" customHeight="1">
      <c r="D194" s="30"/>
      <c r="E194" s="30"/>
      <c r="F194" s="30"/>
      <c r="H194" s="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4:26" ht="15.75" customHeight="1">
      <c r="D195" s="30"/>
      <c r="E195" s="30"/>
      <c r="F195" s="30"/>
      <c r="H195" s="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4:26" ht="15.75" customHeight="1">
      <c r="D196" s="30"/>
      <c r="E196" s="30"/>
      <c r="F196" s="30"/>
      <c r="H196" s="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4:26" ht="15.75" customHeight="1">
      <c r="D197" s="30"/>
      <c r="E197" s="30"/>
      <c r="F197" s="30"/>
      <c r="H197" s="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4:26" ht="15.75" customHeight="1">
      <c r="D198" s="30"/>
      <c r="E198" s="30"/>
      <c r="F198" s="30"/>
      <c r="H198" s="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4:26" ht="15.75" customHeight="1">
      <c r="D199" s="30"/>
      <c r="E199" s="30"/>
      <c r="F199" s="30"/>
      <c r="H199" s="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4:26" ht="15.75" customHeight="1">
      <c r="D200" s="30"/>
      <c r="E200" s="30"/>
      <c r="F200" s="30"/>
      <c r="H200" s="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4:26" ht="15.75" customHeight="1">
      <c r="D201" s="30"/>
      <c r="E201" s="30"/>
      <c r="F201" s="30"/>
      <c r="H201" s="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4:26" ht="15.75" customHeight="1">
      <c r="D202" s="30"/>
      <c r="E202" s="30"/>
      <c r="F202" s="30"/>
      <c r="H202" s="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4:26" ht="15.75" customHeight="1">
      <c r="D203" s="30"/>
      <c r="E203" s="30"/>
      <c r="F203" s="30"/>
      <c r="H203" s="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4:26" ht="15.75" customHeight="1">
      <c r="D204" s="30"/>
      <c r="E204" s="30"/>
      <c r="F204" s="30"/>
      <c r="H204" s="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4:26" ht="15.75" customHeight="1">
      <c r="D205" s="30"/>
      <c r="E205" s="30"/>
      <c r="F205" s="30"/>
      <c r="H205" s="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4:26" ht="15.75" customHeight="1">
      <c r="D206" s="30"/>
      <c r="E206" s="30"/>
      <c r="F206" s="30"/>
      <c r="H206" s="8"/>
    </row>
    <row r="207" spans="4:26" ht="15.75" customHeight="1">
      <c r="D207" s="30"/>
      <c r="E207" s="30"/>
      <c r="F207" s="30"/>
      <c r="H207" s="8"/>
    </row>
    <row r="208" spans="4:26" ht="15.75" customHeight="1">
      <c r="D208" s="30"/>
      <c r="E208" s="30"/>
      <c r="F208" s="30"/>
      <c r="H208" s="8"/>
    </row>
    <row r="209" spans="4:8" ht="15.75" customHeight="1">
      <c r="D209" s="30"/>
      <c r="E209" s="30"/>
      <c r="F209" s="30"/>
      <c r="H209" s="8"/>
    </row>
    <row r="210" spans="4:8" ht="15.75" customHeight="1">
      <c r="D210" s="30"/>
      <c r="E210" s="30"/>
      <c r="F210" s="30"/>
      <c r="H210" s="8"/>
    </row>
    <row r="211" spans="4:8" ht="15.75" customHeight="1">
      <c r="D211" s="30"/>
      <c r="E211" s="30"/>
      <c r="F211" s="30"/>
      <c r="H211" s="8"/>
    </row>
    <row r="212" spans="4:8" ht="15.75" customHeight="1">
      <c r="D212" s="30"/>
      <c r="E212" s="30"/>
      <c r="F212" s="30"/>
      <c r="H212" s="8"/>
    </row>
    <row r="213" spans="4:8" ht="15.75" customHeight="1">
      <c r="D213" s="30"/>
      <c r="E213" s="30"/>
      <c r="F213" s="30"/>
      <c r="H213" s="8"/>
    </row>
    <row r="214" spans="4:8" ht="15.75" customHeight="1">
      <c r="D214" s="30"/>
      <c r="E214" s="30"/>
      <c r="F214" s="30"/>
      <c r="H214" s="8"/>
    </row>
    <row r="215" spans="4:8" ht="15.75" customHeight="1">
      <c r="D215" s="30"/>
      <c r="E215" s="30"/>
      <c r="F215" s="30"/>
      <c r="H215" s="8"/>
    </row>
    <row r="216" spans="4:8" ht="15.75" customHeight="1">
      <c r="D216" s="30"/>
      <c r="E216" s="30"/>
      <c r="F216" s="30"/>
      <c r="H216" s="8"/>
    </row>
    <row r="217" spans="4:8" ht="15.75" customHeight="1">
      <c r="D217" s="30"/>
      <c r="E217" s="30"/>
      <c r="F217" s="30"/>
      <c r="H217" s="8"/>
    </row>
    <row r="218" spans="4:8" ht="15.75" customHeight="1">
      <c r="D218" s="30"/>
      <c r="E218" s="30"/>
      <c r="F218" s="30"/>
      <c r="H218" s="8"/>
    </row>
    <row r="219" spans="4:8" ht="15.75" customHeight="1">
      <c r="D219" s="30"/>
      <c r="E219" s="30"/>
      <c r="F219" s="30"/>
      <c r="H219" s="8"/>
    </row>
    <row r="220" spans="4:8" ht="15.75" customHeight="1">
      <c r="D220" s="30"/>
      <c r="E220" s="30"/>
      <c r="F220" s="30"/>
      <c r="H220" s="8"/>
    </row>
    <row r="221" spans="4:8" ht="15.75" customHeight="1">
      <c r="D221" s="30"/>
      <c r="E221" s="30"/>
      <c r="F221" s="30"/>
      <c r="H221" s="8"/>
    </row>
    <row r="222" spans="4:8" ht="15.75" customHeight="1">
      <c r="D222" s="30"/>
      <c r="E222" s="30"/>
      <c r="F222" s="30"/>
      <c r="H222" s="8"/>
    </row>
    <row r="223" spans="4:8" ht="15.75" customHeight="1">
      <c r="D223" s="30"/>
      <c r="E223" s="30"/>
      <c r="F223" s="30"/>
      <c r="H223" s="8"/>
    </row>
    <row r="224" spans="4:8" ht="15.75" customHeight="1">
      <c r="D224" s="30"/>
      <c r="E224" s="30"/>
      <c r="F224" s="30"/>
      <c r="H224" s="8"/>
    </row>
    <row r="225" spans="4:8" ht="15.75" customHeight="1">
      <c r="D225" s="30"/>
      <c r="E225" s="30"/>
      <c r="F225" s="30"/>
      <c r="H225" s="8"/>
    </row>
    <row r="226" spans="4:8" ht="15.75" customHeight="1">
      <c r="D226" s="15"/>
      <c r="H226" s="8"/>
    </row>
    <row r="227" spans="4:8" ht="15.75" customHeight="1">
      <c r="D227" s="15"/>
      <c r="H227" s="8"/>
    </row>
    <row r="228" spans="4:8" ht="15.75" customHeight="1">
      <c r="D228" s="15"/>
      <c r="H228" s="8"/>
    </row>
    <row r="229" spans="4:8" ht="15.75" customHeight="1">
      <c r="D229" s="15"/>
      <c r="H229" s="8"/>
    </row>
    <row r="230" spans="4:8" ht="15.75" customHeight="1">
      <c r="D230" s="15"/>
      <c r="H230" s="8"/>
    </row>
    <row r="231" spans="4:8" ht="15.75" customHeight="1">
      <c r="D231" s="15"/>
      <c r="H231" s="8"/>
    </row>
    <row r="232" spans="4:8" ht="15.75" customHeight="1">
      <c r="D232" s="15"/>
      <c r="H232" s="8"/>
    </row>
    <row r="233" spans="4:8" ht="15.75" customHeight="1">
      <c r="D233" s="15"/>
      <c r="H233" s="8"/>
    </row>
    <row r="234" spans="4:8" ht="15.75" customHeight="1">
      <c r="D234" s="15"/>
      <c r="H234" s="8"/>
    </row>
    <row r="235" spans="4:8" ht="15.75" customHeight="1">
      <c r="D235" s="15"/>
      <c r="H235" s="8"/>
    </row>
    <row r="236" spans="4:8" ht="15.75" customHeight="1">
      <c r="D236" s="15"/>
      <c r="H236" s="8"/>
    </row>
    <row r="237" spans="4:8" ht="15.75" customHeight="1">
      <c r="D237" s="15"/>
      <c r="H237" s="8"/>
    </row>
    <row r="238" spans="4:8" ht="15.75" customHeight="1">
      <c r="D238" s="15"/>
      <c r="H238" s="8"/>
    </row>
    <row r="239" spans="4:8" ht="15.75" customHeight="1">
      <c r="D239" s="15"/>
      <c r="H239" s="8"/>
    </row>
    <row r="240" spans="4:8" ht="15.75" customHeight="1">
      <c r="D240" s="15"/>
      <c r="H240" s="8"/>
    </row>
    <row r="241" spans="4:8" ht="15.75" customHeight="1">
      <c r="D241" s="15"/>
      <c r="H241" s="8"/>
    </row>
    <row r="242" spans="4:8" ht="15.75" customHeight="1">
      <c r="D242" s="15"/>
      <c r="H242" s="8"/>
    </row>
    <row r="243" spans="4:8" ht="15.75" customHeight="1">
      <c r="D243" s="15"/>
      <c r="H243" s="8"/>
    </row>
    <row r="244" spans="4:8" ht="15.75" customHeight="1">
      <c r="D244" s="15"/>
      <c r="H244" s="8"/>
    </row>
    <row r="245" spans="4:8" ht="15.75" customHeight="1">
      <c r="D245" s="15"/>
      <c r="H245" s="8"/>
    </row>
    <row r="246" spans="4:8" ht="15.75" customHeight="1">
      <c r="D246" s="15"/>
      <c r="H246" s="8"/>
    </row>
    <row r="247" spans="4:8" ht="15.75" customHeight="1">
      <c r="D247" s="15"/>
      <c r="H247" s="8"/>
    </row>
    <row r="248" spans="4:8" ht="15.75" customHeight="1">
      <c r="D248" s="15"/>
      <c r="H248" s="8"/>
    </row>
    <row r="249" spans="4:8" ht="15.75" customHeight="1">
      <c r="D249" s="15"/>
      <c r="H249" s="8"/>
    </row>
    <row r="250" spans="4:8" ht="15.75" customHeight="1">
      <c r="D250" s="15"/>
      <c r="H250" s="8"/>
    </row>
    <row r="251" spans="4:8" ht="15.75" customHeight="1">
      <c r="D251" s="15"/>
      <c r="H251" s="8"/>
    </row>
    <row r="252" spans="4:8" ht="15.75" customHeight="1">
      <c r="D252" s="15"/>
      <c r="H252" s="8"/>
    </row>
    <row r="253" spans="4:8" ht="15.75" customHeight="1">
      <c r="D253" s="15"/>
      <c r="H253" s="8"/>
    </row>
    <row r="254" spans="4:8" ht="15.75" customHeight="1">
      <c r="D254" s="15"/>
      <c r="H254" s="8"/>
    </row>
    <row r="255" spans="4:8" ht="15.75" customHeight="1">
      <c r="D255" s="15"/>
      <c r="H255" s="8"/>
    </row>
    <row r="256" spans="4:8" ht="15.75" customHeight="1">
      <c r="D256" s="15"/>
      <c r="H256" s="8"/>
    </row>
    <row r="257" spans="4:8" ht="15.75" customHeight="1">
      <c r="D257" s="15"/>
      <c r="H257" s="8"/>
    </row>
    <row r="258" spans="4:8" ht="15.75" customHeight="1">
      <c r="D258" s="15"/>
      <c r="H258" s="8"/>
    </row>
    <row r="259" spans="4:8" ht="15.75" customHeight="1">
      <c r="D259" s="15"/>
      <c r="H259" s="8"/>
    </row>
    <row r="260" spans="4:8" ht="15.75" customHeight="1">
      <c r="D260" s="15"/>
      <c r="H260" s="8"/>
    </row>
    <row r="261" spans="4:8" ht="15.75" customHeight="1">
      <c r="D261" s="15"/>
      <c r="H261" s="8"/>
    </row>
    <row r="262" spans="4:8" ht="15.75" customHeight="1">
      <c r="D262" s="15"/>
      <c r="H262" s="8"/>
    </row>
    <row r="263" spans="4:8" ht="15.75" customHeight="1">
      <c r="D263" s="15"/>
      <c r="H263" s="8"/>
    </row>
    <row r="264" spans="4:8" ht="15.75" customHeight="1">
      <c r="D264" s="15"/>
      <c r="H264" s="8"/>
    </row>
    <row r="265" spans="4:8" ht="15.75" customHeight="1">
      <c r="D265" s="15"/>
      <c r="H265" s="8"/>
    </row>
    <row r="266" spans="4:8" ht="15.75" customHeight="1">
      <c r="D266" s="15"/>
      <c r="H266" s="8"/>
    </row>
    <row r="267" spans="4:8" ht="15.75" customHeight="1">
      <c r="D267" s="15"/>
      <c r="H267" s="8"/>
    </row>
    <row r="268" spans="4:8" ht="15.75" customHeight="1">
      <c r="D268" s="15"/>
      <c r="H268" s="8"/>
    </row>
    <row r="269" spans="4:8" ht="15.75" customHeight="1">
      <c r="D269" s="15"/>
      <c r="H269" s="8"/>
    </row>
    <row r="270" spans="4:8" ht="15.75" customHeight="1">
      <c r="D270" s="15"/>
      <c r="H270" s="8"/>
    </row>
    <row r="271" spans="4:8" ht="15.75" customHeight="1">
      <c r="D271" s="15"/>
      <c r="H271" s="8"/>
    </row>
    <row r="272" spans="4:8" ht="15.75" customHeight="1">
      <c r="D272" s="15"/>
      <c r="H272" s="8"/>
    </row>
    <row r="273" spans="4:8" ht="15.75" customHeight="1">
      <c r="D273" s="15"/>
      <c r="H273" s="8"/>
    </row>
    <row r="274" spans="4:8" ht="15.75" customHeight="1">
      <c r="D274" s="15"/>
      <c r="H274" s="8"/>
    </row>
    <row r="275" spans="4:8" ht="15.75" customHeight="1">
      <c r="D275" s="15"/>
      <c r="H275" s="8"/>
    </row>
    <row r="276" spans="4:8" ht="15.75" customHeight="1">
      <c r="D276" s="15"/>
      <c r="H276" s="8"/>
    </row>
    <row r="277" spans="4:8" ht="15.75" customHeight="1">
      <c r="D277" s="15"/>
      <c r="H277" s="8"/>
    </row>
    <row r="278" spans="4:8" ht="15.75" customHeight="1">
      <c r="D278" s="15"/>
      <c r="H278" s="8"/>
    </row>
    <row r="279" spans="4:8" ht="15.75" customHeight="1">
      <c r="D279" s="15"/>
      <c r="H279" s="8"/>
    </row>
    <row r="280" spans="4:8" ht="15.75" customHeight="1">
      <c r="D280" s="15"/>
      <c r="H280" s="8"/>
    </row>
    <row r="281" spans="4:8" ht="15.75" customHeight="1">
      <c r="D281" s="15"/>
      <c r="H281" s="8"/>
    </row>
    <row r="282" spans="4:8" ht="15.75" customHeight="1">
      <c r="D282" s="15"/>
      <c r="H282" s="8"/>
    </row>
    <row r="283" spans="4:8" ht="15.75" customHeight="1">
      <c r="D283" s="15"/>
      <c r="H283" s="8"/>
    </row>
    <row r="284" spans="4:8" ht="15.75" customHeight="1">
      <c r="D284" s="15"/>
      <c r="H284" s="8"/>
    </row>
    <row r="285" spans="4:8" ht="15.75" customHeight="1">
      <c r="D285" s="15"/>
      <c r="H285" s="8"/>
    </row>
    <row r="286" spans="4:8" ht="15.75" customHeight="1">
      <c r="D286" s="15"/>
      <c r="H286" s="8"/>
    </row>
    <row r="287" spans="4:8" ht="15.75" customHeight="1">
      <c r="D287" s="15"/>
      <c r="H287" s="8"/>
    </row>
    <row r="288" spans="4:8" ht="15.75" customHeight="1">
      <c r="D288" s="15"/>
      <c r="H288" s="8"/>
    </row>
    <row r="289" spans="4:8" ht="15.75" customHeight="1">
      <c r="D289" s="15"/>
      <c r="H289" s="8"/>
    </row>
    <row r="290" spans="4:8" ht="15.75" customHeight="1">
      <c r="D290" s="15"/>
      <c r="H290" s="8"/>
    </row>
    <row r="291" spans="4:8" ht="15.75" customHeight="1">
      <c r="D291" s="15"/>
      <c r="H291" s="8"/>
    </row>
    <row r="292" spans="4:8" ht="15.75" customHeight="1">
      <c r="D292" s="15"/>
      <c r="H292" s="8"/>
    </row>
    <row r="293" spans="4:8" ht="15.75" customHeight="1">
      <c r="D293" s="15"/>
      <c r="H293" s="8"/>
    </row>
    <row r="294" spans="4:8" ht="15.75" customHeight="1">
      <c r="D294" s="15"/>
      <c r="H294" s="8"/>
    </row>
    <row r="295" spans="4:8" ht="15.75" customHeight="1">
      <c r="D295" s="15"/>
      <c r="H295" s="8"/>
    </row>
    <row r="296" spans="4:8" ht="15.75" customHeight="1">
      <c r="D296" s="15"/>
      <c r="H296" s="8"/>
    </row>
    <row r="297" spans="4:8" ht="15.75" customHeight="1">
      <c r="D297" s="15"/>
      <c r="H297" s="8"/>
    </row>
    <row r="298" spans="4:8" ht="15.75" customHeight="1">
      <c r="D298" s="15"/>
      <c r="H298" s="8"/>
    </row>
    <row r="299" spans="4:8" ht="15.75" customHeight="1">
      <c r="D299" s="15"/>
      <c r="H299" s="8"/>
    </row>
    <row r="300" spans="4:8" ht="15.75" customHeight="1">
      <c r="D300" s="15"/>
      <c r="H300" s="8"/>
    </row>
    <row r="301" spans="4:8" ht="15.75" customHeight="1">
      <c r="D301" s="15"/>
      <c r="H301" s="8"/>
    </row>
    <row r="302" spans="4:8" ht="15.75" customHeight="1">
      <c r="D302" s="15"/>
      <c r="H302" s="8"/>
    </row>
    <row r="303" spans="4:8" ht="15.75" customHeight="1">
      <c r="D303" s="15"/>
      <c r="H303" s="8"/>
    </row>
    <row r="304" spans="4:8" ht="15.75" customHeight="1">
      <c r="D304" s="15"/>
      <c r="H304" s="8"/>
    </row>
    <row r="305" spans="4:8" ht="15.75" customHeight="1">
      <c r="D305" s="15"/>
      <c r="H305" s="8"/>
    </row>
    <row r="306" spans="4:8" ht="15.75" customHeight="1">
      <c r="D306" s="15"/>
      <c r="H306" s="8"/>
    </row>
    <row r="307" spans="4:8" ht="15.75" customHeight="1">
      <c r="D307" s="15"/>
      <c r="H307" s="8"/>
    </row>
    <row r="308" spans="4:8" ht="15.75" customHeight="1">
      <c r="D308" s="15"/>
      <c r="H308" s="8"/>
    </row>
    <row r="309" spans="4:8" ht="15.75" customHeight="1">
      <c r="D309" s="15"/>
      <c r="H309" s="8"/>
    </row>
    <row r="310" spans="4:8" ht="15.75" customHeight="1">
      <c r="D310" s="15"/>
      <c r="H310" s="8"/>
    </row>
    <row r="311" spans="4:8" ht="15.75" customHeight="1">
      <c r="D311" s="15"/>
      <c r="H311" s="8"/>
    </row>
    <row r="312" spans="4:8" ht="15.75" customHeight="1">
      <c r="D312" s="15"/>
      <c r="H312" s="8"/>
    </row>
    <row r="313" spans="4:8" ht="15.75" customHeight="1">
      <c r="D313" s="15"/>
      <c r="H313" s="8"/>
    </row>
    <row r="314" spans="4:8" ht="15.75" customHeight="1">
      <c r="D314" s="15"/>
      <c r="H314" s="8"/>
    </row>
    <row r="315" spans="4:8" ht="15.75" customHeight="1">
      <c r="D315" s="15"/>
      <c r="H315" s="8"/>
    </row>
    <row r="316" spans="4:8" ht="15.75" customHeight="1">
      <c r="D316" s="15"/>
      <c r="H316" s="8"/>
    </row>
    <row r="317" spans="4:8" ht="15.75" customHeight="1">
      <c r="D317" s="15"/>
      <c r="H317" s="8"/>
    </row>
    <row r="318" spans="4:8" ht="15.75" customHeight="1">
      <c r="D318" s="15"/>
      <c r="H318" s="8"/>
    </row>
    <row r="319" spans="4:8" ht="15.75" customHeight="1">
      <c r="D319" s="15"/>
      <c r="H319" s="8"/>
    </row>
    <row r="320" spans="4:8" ht="15.75" customHeight="1">
      <c r="D320" s="15"/>
      <c r="H320" s="8"/>
    </row>
    <row r="321" spans="4:8" ht="15.75" customHeight="1">
      <c r="D321" s="15"/>
      <c r="H321" s="8"/>
    </row>
    <row r="322" spans="4:8" ht="15.75" customHeight="1">
      <c r="D322" s="15"/>
      <c r="H322" s="8"/>
    </row>
    <row r="323" spans="4:8" ht="15.75" customHeight="1">
      <c r="D323" s="15"/>
      <c r="H323" s="8"/>
    </row>
    <row r="324" spans="4:8" ht="15.75" customHeight="1">
      <c r="D324" s="15"/>
      <c r="H324" s="8"/>
    </row>
    <row r="325" spans="4:8" ht="15.75" customHeight="1">
      <c r="D325" s="15"/>
      <c r="H325" s="8"/>
    </row>
    <row r="326" spans="4:8" ht="15.75" customHeight="1">
      <c r="D326" s="15"/>
      <c r="H326" s="8"/>
    </row>
    <row r="327" spans="4:8" ht="15.75" customHeight="1">
      <c r="D327" s="15"/>
      <c r="H327" s="8"/>
    </row>
    <row r="328" spans="4:8" ht="15.75" customHeight="1">
      <c r="D328" s="15"/>
      <c r="H328" s="8"/>
    </row>
    <row r="329" spans="4:8" ht="15.75" customHeight="1">
      <c r="D329" s="15"/>
      <c r="H329" s="8"/>
    </row>
    <row r="330" spans="4:8" ht="15.75" customHeight="1">
      <c r="D330" s="15"/>
      <c r="H330" s="8"/>
    </row>
    <row r="331" spans="4:8" ht="15.75" customHeight="1">
      <c r="D331" s="15"/>
      <c r="H331" s="8"/>
    </row>
    <row r="332" spans="4:8" ht="15.75" customHeight="1">
      <c r="D332" s="15"/>
      <c r="H332" s="8"/>
    </row>
    <row r="333" spans="4:8" ht="15.75" customHeight="1">
      <c r="D333" s="15"/>
      <c r="H333" s="8"/>
    </row>
    <row r="334" spans="4:8" ht="15.75" customHeight="1">
      <c r="D334" s="15"/>
      <c r="H334" s="8"/>
    </row>
    <row r="335" spans="4:8" ht="15.75" customHeight="1">
      <c r="D335" s="15"/>
      <c r="H335" s="8"/>
    </row>
    <row r="336" spans="4:8" ht="15.75" customHeight="1">
      <c r="D336" s="15"/>
      <c r="H336" s="8"/>
    </row>
    <row r="337" spans="4:8" ht="15.75" customHeight="1">
      <c r="D337" s="15"/>
      <c r="H337" s="8"/>
    </row>
    <row r="338" spans="4:8" ht="15.75" customHeight="1">
      <c r="D338" s="15"/>
      <c r="H338" s="8"/>
    </row>
    <row r="339" spans="4:8" ht="15.75" customHeight="1">
      <c r="D339" s="15"/>
      <c r="H339" s="8"/>
    </row>
    <row r="340" spans="4:8" ht="15.75" customHeight="1">
      <c r="D340" s="15"/>
      <c r="H340" s="8"/>
    </row>
    <row r="341" spans="4:8" ht="15.75" customHeight="1">
      <c r="D341" s="15"/>
      <c r="H341" s="8"/>
    </row>
    <row r="342" spans="4:8" ht="15.75" customHeight="1">
      <c r="D342" s="15"/>
      <c r="H342" s="8"/>
    </row>
    <row r="343" spans="4:8" ht="15.75" customHeight="1">
      <c r="D343" s="15"/>
      <c r="H343" s="8"/>
    </row>
    <row r="344" spans="4:8" ht="15.75" customHeight="1">
      <c r="D344" s="15"/>
      <c r="H344" s="8"/>
    </row>
    <row r="345" spans="4:8" ht="15.75" customHeight="1">
      <c r="D345" s="15"/>
      <c r="H345" s="8"/>
    </row>
    <row r="346" spans="4:8" ht="15.75" customHeight="1">
      <c r="D346" s="15"/>
      <c r="H346" s="8"/>
    </row>
    <row r="347" spans="4:8" ht="15.75" customHeight="1">
      <c r="D347" s="15"/>
      <c r="H347" s="8"/>
    </row>
    <row r="348" spans="4:8" ht="15.75" customHeight="1">
      <c r="D348" s="15"/>
      <c r="H348" s="8"/>
    </row>
    <row r="349" spans="4:8" ht="15.75" customHeight="1">
      <c r="D349" s="15"/>
      <c r="H349" s="8"/>
    </row>
    <row r="350" spans="4:8" ht="15.75" customHeight="1">
      <c r="D350" s="15"/>
      <c r="H350" s="8"/>
    </row>
    <row r="351" spans="4:8" ht="15.75" customHeight="1">
      <c r="D351" s="15"/>
      <c r="H351" s="8"/>
    </row>
    <row r="352" spans="4:8" ht="15.75" customHeight="1">
      <c r="D352" s="15"/>
      <c r="H352" s="8"/>
    </row>
    <row r="353" spans="4:8" ht="15.75" customHeight="1">
      <c r="D353" s="15"/>
      <c r="H353" s="8"/>
    </row>
    <row r="354" spans="4:8" ht="15.75" customHeight="1">
      <c r="D354" s="15"/>
      <c r="H354" s="8"/>
    </row>
    <row r="355" spans="4:8" ht="15.75" customHeight="1">
      <c r="D355" s="15"/>
      <c r="H355" s="8"/>
    </row>
    <row r="356" spans="4:8" ht="15.75" customHeight="1">
      <c r="D356" s="15"/>
      <c r="H356" s="8"/>
    </row>
    <row r="357" spans="4:8" ht="15.75" customHeight="1">
      <c r="D357" s="15"/>
      <c r="H357" s="8"/>
    </row>
    <row r="358" spans="4:8" ht="15.75" customHeight="1">
      <c r="D358" s="15"/>
      <c r="H358" s="8"/>
    </row>
    <row r="359" spans="4:8" ht="15.75" customHeight="1">
      <c r="D359" s="15"/>
      <c r="H359" s="8"/>
    </row>
    <row r="360" spans="4:8" ht="15.75" customHeight="1">
      <c r="D360" s="15"/>
      <c r="H360" s="8"/>
    </row>
    <row r="361" spans="4:8" ht="15.75" customHeight="1">
      <c r="D361" s="15"/>
      <c r="H361" s="8"/>
    </row>
    <row r="362" spans="4:8" ht="15.75" customHeight="1">
      <c r="D362" s="15"/>
      <c r="H362" s="8"/>
    </row>
    <row r="363" spans="4:8" ht="15.75" customHeight="1">
      <c r="D363" s="15"/>
      <c r="H363" s="8"/>
    </row>
    <row r="364" spans="4:8" ht="15.75" customHeight="1">
      <c r="D364" s="15"/>
      <c r="H364" s="8"/>
    </row>
    <row r="365" spans="4:8" ht="15.75" customHeight="1">
      <c r="D365" s="15"/>
      <c r="H365" s="8"/>
    </row>
    <row r="366" spans="4:8" ht="15.75" customHeight="1">
      <c r="D366" s="15"/>
      <c r="H366" s="8"/>
    </row>
    <row r="367" spans="4:8" ht="15.75" customHeight="1">
      <c r="D367" s="15"/>
      <c r="H367" s="8"/>
    </row>
    <row r="368" spans="4:8" ht="15.75" customHeight="1">
      <c r="D368" s="15"/>
      <c r="H368" s="8"/>
    </row>
    <row r="369" spans="4:8" ht="15.75" customHeight="1">
      <c r="D369" s="15"/>
      <c r="H369" s="8"/>
    </row>
    <row r="370" spans="4:8" ht="15.75" customHeight="1">
      <c r="D370" s="15"/>
      <c r="H370" s="8"/>
    </row>
    <row r="371" spans="4:8" ht="15.75" customHeight="1">
      <c r="D371" s="15"/>
      <c r="H371" s="8"/>
    </row>
    <row r="372" spans="4:8" ht="15.75" customHeight="1">
      <c r="D372" s="15"/>
      <c r="H372" s="8"/>
    </row>
    <row r="373" spans="4:8" ht="15.75" customHeight="1">
      <c r="D373" s="15"/>
      <c r="H373" s="8"/>
    </row>
    <row r="374" spans="4:8" ht="15.75" customHeight="1">
      <c r="D374" s="15"/>
      <c r="H374" s="8"/>
    </row>
    <row r="375" spans="4:8" ht="15.75" customHeight="1">
      <c r="D375" s="15"/>
      <c r="H375" s="8"/>
    </row>
    <row r="376" spans="4:8" ht="15.75" customHeight="1">
      <c r="D376" s="15"/>
      <c r="H376" s="8"/>
    </row>
    <row r="377" spans="4:8" ht="15.75" customHeight="1">
      <c r="D377" s="15"/>
      <c r="H377" s="8"/>
    </row>
    <row r="378" spans="4:8" ht="15.75" customHeight="1">
      <c r="D378" s="15"/>
      <c r="H378" s="8"/>
    </row>
    <row r="379" spans="4:8" ht="15.75" customHeight="1">
      <c r="D379" s="15"/>
      <c r="H379" s="8"/>
    </row>
    <row r="380" spans="4:8" ht="15.75" customHeight="1">
      <c r="D380" s="15"/>
      <c r="H380" s="8"/>
    </row>
    <row r="381" spans="4:8" ht="15.75" customHeight="1">
      <c r="D381" s="15"/>
      <c r="H381" s="8"/>
    </row>
    <row r="382" spans="4:8" ht="15.75" customHeight="1">
      <c r="D382" s="15"/>
      <c r="H382" s="8"/>
    </row>
    <row r="383" spans="4:8" ht="15.75" customHeight="1">
      <c r="D383" s="15"/>
      <c r="H383" s="8"/>
    </row>
    <row r="384" spans="4:8" ht="15.75" customHeight="1">
      <c r="D384" s="15"/>
      <c r="H384" s="8"/>
    </row>
    <row r="385" spans="4:8" ht="15.75" customHeight="1">
      <c r="D385" s="15"/>
      <c r="H385" s="8"/>
    </row>
    <row r="386" spans="4:8" ht="15.75" customHeight="1">
      <c r="D386" s="15"/>
      <c r="H386" s="8"/>
    </row>
    <row r="387" spans="4:8" ht="15.75" customHeight="1">
      <c r="D387" s="15"/>
      <c r="H387" s="8"/>
    </row>
    <row r="388" spans="4:8" ht="15.75" customHeight="1">
      <c r="D388" s="15"/>
      <c r="H388" s="8"/>
    </row>
    <row r="389" spans="4:8" ht="15.75" customHeight="1">
      <c r="D389" s="15"/>
      <c r="H389" s="8"/>
    </row>
    <row r="390" spans="4:8" ht="15.75" customHeight="1">
      <c r="D390" s="15"/>
      <c r="H390" s="8"/>
    </row>
    <row r="391" spans="4:8" ht="15.75" customHeight="1">
      <c r="D391" s="15"/>
      <c r="H391" s="8"/>
    </row>
    <row r="392" spans="4:8" ht="15.75" customHeight="1">
      <c r="D392" s="15"/>
      <c r="H392" s="8"/>
    </row>
    <row r="393" spans="4:8" ht="15.75" customHeight="1">
      <c r="D393" s="15"/>
      <c r="H393" s="8"/>
    </row>
    <row r="394" spans="4:8" ht="15.75" customHeight="1">
      <c r="D394" s="15"/>
      <c r="H394" s="8"/>
    </row>
    <row r="395" spans="4:8" ht="15.75" customHeight="1">
      <c r="D395" s="15"/>
      <c r="H395" s="8"/>
    </row>
    <row r="396" spans="4:8" ht="15.75" customHeight="1">
      <c r="D396" s="15"/>
      <c r="H396" s="8"/>
    </row>
    <row r="397" spans="4:8" ht="15.75" customHeight="1">
      <c r="D397" s="15"/>
      <c r="H397" s="8"/>
    </row>
    <row r="398" spans="4:8" ht="15.75" customHeight="1">
      <c r="D398" s="15"/>
      <c r="H398" s="8"/>
    </row>
    <row r="399" spans="4:8" ht="15.75" customHeight="1">
      <c r="D399" s="15"/>
      <c r="H399" s="8"/>
    </row>
    <row r="400" spans="4:8" ht="15.75" customHeight="1">
      <c r="D400" s="15"/>
      <c r="H400" s="8"/>
    </row>
    <row r="401" spans="4:8" ht="15.75" customHeight="1">
      <c r="D401" s="15"/>
      <c r="H401" s="8"/>
    </row>
    <row r="402" spans="4:8" ht="15.75" customHeight="1">
      <c r="D402" s="15"/>
      <c r="H402" s="8"/>
    </row>
    <row r="403" spans="4:8" ht="15.75" customHeight="1">
      <c r="D403" s="15"/>
      <c r="H403" s="8"/>
    </row>
    <row r="404" spans="4:8" ht="15.75" customHeight="1">
      <c r="D404" s="15"/>
      <c r="H404" s="8"/>
    </row>
    <row r="405" spans="4:8" ht="15.75" customHeight="1">
      <c r="D405" s="15"/>
      <c r="H405" s="8"/>
    </row>
    <row r="406" spans="4:8" ht="15.75" customHeight="1">
      <c r="D406" s="15"/>
      <c r="H406" s="8"/>
    </row>
    <row r="407" spans="4:8" ht="15.75" customHeight="1">
      <c r="D407" s="15"/>
      <c r="H407" s="8"/>
    </row>
    <row r="408" spans="4:8" ht="15.75" customHeight="1">
      <c r="D408" s="15"/>
      <c r="H408" s="8"/>
    </row>
    <row r="409" spans="4:8" ht="15.75" customHeight="1">
      <c r="D409" s="15"/>
      <c r="H409" s="8"/>
    </row>
    <row r="410" spans="4:8" ht="15.75" customHeight="1">
      <c r="D410" s="15"/>
      <c r="H410" s="8"/>
    </row>
    <row r="411" spans="4:8" ht="15.75" customHeight="1">
      <c r="D411" s="15"/>
      <c r="H411" s="8"/>
    </row>
    <row r="412" spans="4:8" ht="15.75" customHeight="1">
      <c r="D412" s="15"/>
      <c r="H412" s="8"/>
    </row>
    <row r="413" spans="4:8" ht="15.75" customHeight="1">
      <c r="D413" s="15"/>
      <c r="H413" s="8"/>
    </row>
    <row r="414" spans="4:8" ht="15.75" customHeight="1">
      <c r="D414" s="15"/>
      <c r="H414" s="8"/>
    </row>
    <row r="415" spans="4:8" ht="15.75" customHeight="1">
      <c r="D415" s="15"/>
      <c r="H415" s="8"/>
    </row>
    <row r="416" spans="4:8" ht="15.75" customHeight="1">
      <c r="D416" s="15"/>
      <c r="H416" s="8"/>
    </row>
    <row r="417" spans="4:8" ht="15.75" customHeight="1">
      <c r="D417" s="15"/>
      <c r="H417" s="8"/>
    </row>
    <row r="418" spans="4:8" ht="15.75" customHeight="1">
      <c r="D418" s="15"/>
      <c r="H418" s="8"/>
    </row>
    <row r="419" spans="4:8" ht="15.75" customHeight="1">
      <c r="D419" s="15"/>
      <c r="H419" s="8"/>
    </row>
    <row r="420" spans="4:8" ht="15.75" customHeight="1">
      <c r="D420" s="15"/>
      <c r="H420" s="8"/>
    </row>
    <row r="421" spans="4:8" ht="15.75" customHeight="1">
      <c r="D421" s="15"/>
      <c r="H421" s="8"/>
    </row>
    <row r="422" spans="4:8" ht="15.75" customHeight="1">
      <c r="D422" s="15"/>
      <c r="H422" s="8"/>
    </row>
    <row r="423" spans="4:8" ht="15.75" customHeight="1">
      <c r="D423" s="15"/>
      <c r="H423" s="8"/>
    </row>
    <row r="424" spans="4:8" ht="15.75" customHeight="1">
      <c r="D424" s="15"/>
      <c r="H424" s="8"/>
    </row>
    <row r="425" spans="4:8" ht="15.75" customHeight="1">
      <c r="D425" s="15"/>
      <c r="H425" s="8"/>
    </row>
    <row r="426" spans="4:8" ht="15.75" customHeight="1">
      <c r="D426" s="15"/>
      <c r="H426" s="8"/>
    </row>
    <row r="427" spans="4:8" ht="15.75" customHeight="1">
      <c r="D427" s="15"/>
      <c r="H427" s="8"/>
    </row>
    <row r="428" spans="4:8" ht="15.75" customHeight="1">
      <c r="D428" s="15"/>
      <c r="H428" s="8"/>
    </row>
    <row r="429" spans="4:8" ht="15.75" customHeight="1">
      <c r="D429" s="15"/>
      <c r="H429" s="8"/>
    </row>
    <row r="430" spans="4:8" ht="15.75" customHeight="1">
      <c r="D430" s="15"/>
      <c r="H430" s="8"/>
    </row>
    <row r="431" spans="4:8" ht="15.75" customHeight="1">
      <c r="D431" s="15"/>
      <c r="H431" s="8"/>
    </row>
    <row r="432" spans="4:8" ht="15.75" customHeight="1">
      <c r="D432" s="15"/>
      <c r="H432" s="8"/>
    </row>
    <row r="433" spans="4:8" ht="15.75" customHeight="1">
      <c r="D433" s="15"/>
      <c r="H433" s="8"/>
    </row>
    <row r="434" spans="4:8" ht="15.75" customHeight="1">
      <c r="D434" s="15"/>
      <c r="H434" s="8"/>
    </row>
    <row r="435" spans="4:8" ht="15.75" customHeight="1">
      <c r="D435" s="15"/>
      <c r="H435" s="8"/>
    </row>
    <row r="436" spans="4:8" ht="15.75" customHeight="1">
      <c r="D436" s="15"/>
      <c r="H436" s="8"/>
    </row>
    <row r="437" spans="4:8" ht="15.75" customHeight="1">
      <c r="D437" s="15"/>
      <c r="H437" s="8"/>
    </row>
    <row r="438" spans="4:8" ht="15.75" customHeight="1">
      <c r="D438" s="15"/>
      <c r="H438" s="8"/>
    </row>
    <row r="439" spans="4:8" ht="15.75" customHeight="1">
      <c r="D439" s="15"/>
      <c r="H439" s="8"/>
    </row>
    <row r="440" spans="4:8" ht="15.75" customHeight="1">
      <c r="D440" s="15"/>
      <c r="H440" s="8"/>
    </row>
    <row r="441" spans="4:8" ht="15.75" customHeight="1">
      <c r="D441" s="15"/>
      <c r="H441" s="8"/>
    </row>
    <row r="442" spans="4:8" ht="15.75" customHeight="1">
      <c r="D442" s="15"/>
      <c r="H442" s="8"/>
    </row>
    <row r="443" spans="4:8" ht="15.75" customHeight="1">
      <c r="D443" s="15"/>
      <c r="H443" s="8"/>
    </row>
    <row r="444" spans="4:8" ht="15.75" customHeight="1">
      <c r="D444" s="15"/>
      <c r="H444" s="8"/>
    </row>
    <row r="445" spans="4:8" ht="15.75" customHeight="1">
      <c r="D445" s="15"/>
      <c r="H445" s="8"/>
    </row>
    <row r="446" spans="4:8" ht="15.75" customHeight="1">
      <c r="D446" s="15"/>
      <c r="H446" s="8"/>
    </row>
    <row r="447" spans="4:8" ht="15.75" customHeight="1">
      <c r="D447" s="15"/>
      <c r="H447" s="8"/>
    </row>
    <row r="448" spans="4:8" ht="15.75" customHeight="1">
      <c r="D448" s="15"/>
      <c r="H448" s="8"/>
    </row>
    <row r="449" spans="4:8" ht="15.75" customHeight="1">
      <c r="D449" s="15"/>
      <c r="H449" s="8"/>
    </row>
    <row r="450" spans="4:8" ht="15.75" customHeight="1">
      <c r="D450" s="15"/>
      <c r="H450" s="8"/>
    </row>
    <row r="451" spans="4:8" ht="15.75" customHeight="1">
      <c r="D451" s="15"/>
      <c r="H451" s="8"/>
    </row>
    <row r="452" spans="4:8" ht="15.75" customHeight="1">
      <c r="D452" s="15"/>
      <c r="H452" s="8"/>
    </row>
    <row r="453" spans="4:8" ht="15.75" customHeight="1">
      <c r="D453" s="15"/>
      <c r="H453" s="8"/>
    </row>
    <row r="454" spans="4:8" ht="15.75" customHeight="1">
      <c r="D454" s="15"/>
      <c r="H454" s="8"/>
    </row>
    <row r="455" spans="4:8" ht="15.75" customHeight="1">
      <c r="D455" s="15"/>
      <c r="H455" s="8"/>
    </row>
    <row r="456" spans="4:8" ht="15.75" customHeight="1">
      <c r="D456" s="15"/>
      <c r="H456" s="8"/>
    </row>
    <row r="457" spans="4:8" ht="15.75" customHeight="1">
      <c r="D457" s="15"/>
      <c r="H457" s="8"/>
    </row>
    <row r="458" spans="4:8" ht="15.75" customHeight="1">
      <c r="D458" s="15"/>
      <c r="H458" s="8"/>
    </row>
    <row r="459" spans="4:8" ht="15.75" customHeight="1">
      <c r="D459" s="15"/>
      <c r="H459" s="8"/>
    </row>
    <row r="460" spans="4:8" ht="15.75" customHeight="1">
      <c r="D460" s="15"/>
      <c r="H460" s="8"/>
    </row>
    <row r="461" spans="4:8" ht="15.75" customHeight="1">
      <c r="D461" s="15"/>
      <c r="H461" s="8"/>
    </row>
    <row r="462" spans="4:8" ht="15.75" customHeight="1">
      <c r="D462" s="15"/>
      <c r="H462" s="8"/>
    </row>
    <row r="463" spans="4:8" ht="15.75" customHeight="1">
      <c r="D463" s="15"/>
      <c r="H463" s="8"/>
    </row>
    <row r="464" spans="4:8" ht="15.75" customHeight="1">
      <c r="D464" s="15"/>
      <c r="H464" s="8"/>
    </row>
    <row r="465" spans="4:8" ht="15.75" customHeight="1">
      <c r="D465" s="15"/>
      <c r="H465" s="8"/>
    </row>
    <row r="466" spans="4:8" ht="15.75" customHeight="1">
      <c r="D466" s="15"/>
      <c r="H466" s="8"/>
    </row>
    <row r="467" spans="4:8" ht="15.75" customHeight="1">
      <c r="D467" s="15"/>
      <c r="H467" s="8"/>
    </row>
    <row r="468" spans="4:8" ht="15.75" customHeight="1">
      <c r="D468" s="15"/>
      <c r="H468" s="8"/>
    </row>
    <row r="469" spans="4:8" ht="15.75" customHeight="1">
      <c r="D469" s="15"/>
      <c r="H469" s="8"/>
    </row>
    <row r="470" spans="4:8" ht="15.75" customHeight="1">
      <c r="D470" s="15"/>
      <c r="H470" s="8"/>
    </row>
    <row r="471" spans="4:8" ht="15.75" customHeight="1">
      <c r="D471" s="15"/>
      <c r="H471" s="8"/>
    </row>
    <row r="472" spans="4:8" ht="15.75" customHeight="1">
      <c r="D472" s="15"/>
      <c r="H472" s="8"/>
    </row>
    <row r="473" spans="4:8" ht="15.75" customHeight="1">
      <c r="D473" s="15"/>
      <c r="H473" s="8"/>
    </row>
    <row r="474" spans="4:8" ht="15.75" customHeight="1">
      <c r="D474" s="15"/>
      <c r="H474" s="8"/>
    </row>
    <row r="475" spans="4:8" ht="15.75" customHeight="1">
      <c r="D475" s="15"/>
      <c r="H475" s="8"/>
    </row>
    <row r="476" spans="4:8" ht="15.75" customHeight="1">
      <c r="D476" s="15"/>
      <c r="H476" s="8"/>
    </row>
    <row r="477" spans="4:8" ht="15.75" customHeight="1">
      <c r="D477" s="15"/>
      <c r="H477" s="8"/>
    </row>
    <row r="478" spans="4:8" ht="15.75" customHeight="1">
      <c r="D478" s="15"/>
      <c r="H478" s="8"/>
    </row>
    <row r="479" spans="4:8" ht="15.75" customHeight="1">
      <c r="D479" s="15"/>
      <c r="H479" s="8"/>
    </row>
    <row r="480" spans="4:8" ht="15.75" customHeight="1">
      <c r="D480" s="15"/>
      <c r="H480" s="8"/>
    </row>
    <row r="481" spans="4:8" ht="15.75" customHeight="1">
      <c r="D481" s="15"/>
      <c r="H481" s="8"/>
    </row>
    <row r="482" spans="4:8" ht="15.75" customHeight="1">
      <c r="D482" s="15"/>
      <c r="H482" s="8"/>
    </row>
    <row r="483" spans="4:8" ht="15.75" customHeight="1">
      <c r="D483" s="15"/>
      <c r="H483" s="8"/>
    </row>
    <row r="484" spans="4:8" ht="15.75" customHeight="1">
      <c r="D484" s="15"/>
      <c r="H484" s="8"/>
    </row>
    <row r="485" spans="4:8" ht="15.75" customHeight="1">
      <c r="D485" s="15"/>
      <c r="H485" s="8"/>
    </row>
    <row r="486" spans="4:8" ht="15.75" customHeight="1">
      <c r="D486" s="15"/>
      <c r="H486" s="8"/>
    </row>
    <row r="487" spans="4:8" ht="15.75" customHeight="1">
      <c r="D487" s="15"/>
      <c r="H487" s="8"/>
    </row>
    <row r="488" spans="4:8" ht="15.75" customHeight="1">
      <c r="D488" s="15"/>
      <c r="H488" s="8"/>
    </row>
    <row r="489" spans="4:8" ht="15.75" customHeight="1">
      <c r="D489" s="15"/>
      <c r="H489" s="8"/>
    </row>
    <row r="490" spans="4:8" ht="15.75" customHeight="1">
      <c r="D490" s="15"/>
      <c r="H490" s="8"/>
    </row>
    <row r="491" spans="4:8" ht="15.75" customHeight="1">
      <c r="D491" s="15"/>
      <c r="H491" s="8"/>
    </row>
    <row r="492" spans="4:8" ht="15.75" customHeight="1">
      <c r="D492" s="15"/>
      <c r="H492" s="8"/>
    </row>
    <row r="493" spans="4:8" ht="15.75" customHeight="1">
      <c r="D493" s="15"/>
      <c r="H493" s="8"/>
    </row>
    <row r="494" spans="4:8" ht="15.75" customHeight="1">
      <c r="D494" s="15"/>
      <c r="H494" s="8"/>
    </row>
    <row r="495" spans="4:8" ht="15.75" customHeight="1">
      <c r="D495" s="15"/>
      <c r="H495" s="8"/>
    </row>
    <row r="496" spans="4:8" ht="15.75" customHeight="1">
      <c r="D496" s="15"/>
      <c r="H496" s="8"/>
    </row>
    <row r="497" spans="4:8" ht="15.75" customHeight="1">
      <c r="D497" s="15"/>
      <c r="H497" s="8"/>
    </row>
    <row r="498" spans="4:8" ht="15.75" customHeight="1">
      <c r="D498" s="15"/>
      <c r="H498" s="8"/>
    </row>
    <row r="499" spans="4:8" ht="15.75" customHeight="1">
      <c r="D499" s="15"/>
      <c r="H499" s="8"/>
    </row>
    <row r="500" spans="4:8" ht="15.75" customHeight="1">
      <c r="D500" s="15"/>
      <c r="H500" s="8"/>
    </row>
    <row r="501" spans="4:8" ht="15.75" customHeight="1">
      <c r="D501" s="15"/>
      <c r="H501" s="8"/>
    </row>
    <row r="502" spans="4:8" ht="15.75" customHeight="1">
      <c r="D502" s="15"/>
      <c r="H502" s="8"/>
    </row>
    <row r="503" spans="4:8" ht="15.75" customHeight="1">
      <c r="D503" s="15"/>
      <c r="H503" s="8"/>
    </row>
    <row r="504" spans="4:8" ht="15.75" customHeight="1">
      <c r="D504" s="15"/>
      <c r="H504" s="8"/>
    </row>
    <row r="505" spans="4:8" ht="15.75" customHeight="1">
      <c r="D505" s="15"/>
      <c r="H505" s="8"/>
    </row>
    <row r="506" spans="4:8" ht="15.75" customHeight="1">
      <c r="D506" s="15"/>
      <c r="H506" s="8"/>
    </row>
    <row r="507" spans="4:8" ht="15.75" customHeight="1">
      <c r="D507" s="15"/>
      <c r="H507" s="8"/>
    </row>
    <row r="508" spans="4:8" ht="15.75" customHeight="1">
      <c r="D508" s="15"/>
      <c r="H508" s="8"/>
    </row>
    <row r="509" spans="4:8" ht="15.75" customHeight="1">
      <c r="D509" s="15"/>
      <c r="H509" s="8"/>
    </row>
    <row r="510" spans="4:8" ht="15.75" customHeight="1">
      <c r="D510" s="15"/>
      <c r="H510" s="8"/>
    </row>
    <row r="511" spans="4:8" ht="15.75" customHeight="1">
      <c r="D511" s="15"/>
      <c r="H511" s="8"/>
    </row>
    <row r="512" spans="4:8" ht="15.75" customHeight="1">
      <c r="D512" s="15"/>
      <c r="H512" s="8"/>
    </row>
    <row r="513" spans="4:8" ht="15.75" customHeight="1">
      <c r="D513" s="15"/>
      <c r="H513" s="8"/>
    </row>
    <row r="514" spans="4:8" ht="15.75" customHeight="1">
      <c r="D514" s="15"/>
      <c r="H514" s="8"/>
    </row>
    <row r="515" spans="4:8" ht="15.75" customHeight="1">
      <c r="D515" s="15"/>
      <c r="H515" s="8"/>
    </row>
    <row r="516" spans="4:8" ht="15.75" customHeight="1">
      <c r="D516" s="15"/>
      <c r="H516" s="8"/>
    </row>
    <row r="517" spans="4:8" ht="15.75" customHeight="1">
      <c r="D517" s="15"/>
      <c r="H517" s="8"/>
    </row>
    <row r="518" spans="4:8" ht="15.75" customHeight="1">
      <c r="D518" s="15"/>
      <c r="H518" s="8"/>
    </row>
    <row r="519" spans="4:8" ht="15.75" customHeight="1">
      <c r="D519" s="15"/>
      <c r="H519" s="8"/>
    </row>
    <row r="520" spans="4:8" ht="15.75" customHeight="1">
      <c r="D520" s="15"/>
      <c r="H520" s="8"/>
    </row>
    <row r="521" spans="4:8" ht="15.75" customHeight="1">
      <c r="D521" s="15"/>
      <c r="H521" s="8"/>
    </row>
    <row r="522" spans="4:8" ht="15.75" customHeight="1">
      <c r="D522" s="15"/>
      <c r="H522" s="8"/>
    </row>
    <row r="523" spans="4:8" ht="15.75" customHeight="1">
      <c r="D523" s="15"/>
      <c r="H523" s="8"/>
    </row>
    <row r="524" spans="4:8" ht="15.75" customHeight="1">
      <c r="D524" s="15"/>
      <c r="H524" s="8"/>
    </row>
    <row r="525" spans="4:8" ht="15.75" customHeight="1">
      <c r="D525" s="15"/>
      <c r="H525" s="8"/>
    </row>
    <row r="526" spans="4:8" ht="15.75" customHeight="1">
      <c r="D526" s="15"/>
      <c r="H526" s="8"/>
    </row>
    <row r="527" spans="4:8" ht="15.75" customHeight="1">
      <c r="D527" s="15"/>
      <c r="H527" s="8"/>
    </row>
    <row r="528" spans="4:8" ht="15.75" customHeight="1">
      <c r="D528" s="15"/>
      <c r="H528" s="8"/>
    </row>
    <row r="529" spans="4:8" ht="15.75" customHeight="1">
      <c r="D529" s="15"/>
      <c r="H529" s="8"/>
    </row>
    <row r="530" spans="4:8" ht="15.75" customHeight="1">
      <c r="D530" s="15"/>
      <c r="H530" s="8"/>
    </row>
    <row r="531" spans="4:8" ht="15.75" customHeight="1">
      <c r="D531" s="15"/>
      <c r="H531" s="8"/>
    </row>
    <row r="532" spans="4:8" ht="15.75" customHeight="1">
      <c r="D532" s="15"/>
      <c r="H532" s="8"/>
    </row>
    <row r="533" spans="4:8" ht="15.75" customHeight="1">
      <c r="D533" s="15"/>
      <c r="H533" s="8"/>
    </row>
    <row r="534" spans="4:8" ht="15.75" customHeight="1">
      <c r="D534" s="15"/>
      <c r="H534" s="8"/>
    </row>
    <row r="535" spans="4:8" ht="15.75" customHeight="1">
      <c r="D535" s="15"/>
      <c r="H535" s="8"/>
    </row>
    <row r="536" spans="4:8" ht="15.75" customHeight="1">
      <c r="D536" s="15"/>
      <c r="H536" s="8"/>
    </row>
    <row r="537" spans="4:8" ht="15.75" customHeight="1">
      <c r="D537" s="15"/>
      <c r="H537" s="8"/>
    </row>
    <row r="538" spans="4:8" ht="15.75" customHeight="1">
      <c r="D538" s="15"/>
      <c r="H538" s="8"/>
    </row>
    <row r="539" spans="4:8" ht="15.75" customHeight="1">
      <c r="D539" s="15"/>
      <c r="H539" s="8"/>
    </row>
    <row r="540" spans="4:8" ht="15.75" customHeight="1">
      <c r="D540" s="15"/>
      <c r="H540" s="8"/>
    </row>
    <row r="541" spans="4:8" ht="15.75" customHeight="1">
      <c r="D541" s="15"/>
      <c r="H541" s="8"/>
    </row>
    <row r="542" spans="4:8" ht="15.75" customHeight="1">
      <c r="D542" s="15"/>
      <c r="H542" s="8"/>
    </row>
    <row r="543" spans="4:8" ht="15.75" customHeight="1">
      <c r="D543" s="15"/>
      <c r="H543" s="8"/>
    </row>
    <row r="544" spans="4:8" ht="15.75" customHeight="1">
      <c r="D544" s="15"/>
      <c r="H544" s="8"/>
    </row>
    <row r="545" spans="4:8" ht="15.75" customHeight="1">
      <c r="D545" s="15"/>
      <c r="H545" s="8"/>
    </row>
    <row r="546" spans="4:8" ht="15.75" customHeight="1">
      <c r="D546" s="15"/>
      <c r="H546" s="8"/>
    </row>
    <row r="547" spans="4:8" ht="15.75" customHeight="1">
      <c r="D547" s="15"/>
      <c r="H547" s="8"/>
    </row>
    <row r="548" spans="4:8" ht="15.75" customHeight="1">
      <c r="D548" s="15"/>
      <c r="H548" s="8"/>
    </row>
    <row r="549" spans="4:8" ht="15.75" customHeight="1">
      <c r="D549" s="15"/>
      <c r="H549" s="8"/>
    </row>
    <row r="550" spans="4:8" ht="15.75" customHeight="1">
      <c r="D550" s="15"/>
      <c r="H550" s="8"/>
    </row>
    <row r="551" spans="4:8" ht="15.75" customHeight="1">
      <c r="D551" s="15"/>
      <c r="H551" s="8"/>
    </row>
    <row r="552" spans="4:8" ht="15.75" customHeight="1">
      <c r="D552" s="15"/>
      <c r="H552" s="8"/>
    </row>
    <row r="553" spans="4:8" ht="15.75" customHeight="1">
      <c r="D553" s="15"/>
      <c r="H553" s="8"/>
    </row>
    <row r="554" spans="4:8" ht="15.75" customHeight="1">
      <c r="D554" s="15"/>
      <c r="H554" s="8"/>
    </row>
    <row r="555" spans="4:8" ht="15.75" customHeight="1">
      <c r="D555" s="15"/>
      <c r="H555" s="8"/>
    </row>
    <row r="556" spans="4:8" ht="15.75" customHeight="1">
      <c r="D556" s="15"/>
      <c r="H556" s="8"/>
    </row>
    <row r="557" spans="4:8" ht="15.75" customHeight="1">
      <c r="D557" s="15"/>
      <c r="H557" s="8"/>
    </row>
    <row r="558" spans="4:8" ht="15.75" customHeight="1">
      <c r="D558" s="15"/>
      <c r="H558" s="8"/>
    </row>
    <row r="559" spans="4:8" ht="15.75" customHeight="1">
      <c r="D559" s="15"/>
      <c r="H559" s="8"/>
    </row>
    <row r="560" spans="4:8" ht="15.75" customHeight="1">
      <c r="D560" s="15"/>
      <c r="H560" s="8"/>
    </row>
    <row r="561" spans="4:8" ht="15.75" customHeight="1">
      <c r="D561" s="15"/>
      <c r="H561" s="8"/>
    </row>
    <row r="562" spans="4:8" ht="15.75" customHeight="1">
      <c r="D562" s="15"/>
      <c r="H562" s="8"/>
    </row>
    <row r="563" spans="4:8" ht="15.75" customHeight="1">
      <c r="D563" s="15"/>
      <c r="H563" s="8"/>
    </row>
    <row r="564" spans="4:8" ht="15.75" customHeight="1">
      <c r="D564" s="15"/>
      <c r="H564" s="8"/>
    </row>
    <row r="565" spans="4:8" ht="15.75" customHeight="1">
      <c r="D565" s="15"/>
      <c r="H565" s="8"/>
    </row>
    <row r="566" spans="4:8" ht="15.75" customHeight="1">
      <c r="D566" s="15"/>
      <c r="H566" s="8"/>
    </row>
    <row r="567" spans="4:8" ht="15.75" customHeight="1">
      <c r="D567" s="15"/>
      <c r="H567" s="8"/>
    </row>
    <row r="568" spans="4:8" ht="15.75" customHeight="1">
      <c r="D568" s="15"/>
      <c r="H568" s="8"/>
    </row>
    <row r="569" spans="4:8" ht="15.75" customHeight="1">
      <c r="D569" s="15"/>
      <c r="H569" s="8"/>
    </row>
    <row r="570" spans="4:8" ht="15.75" customHeight="1">
      <c r="D570" s="15"/>
      <c r="H570" s="8"/>
    </row>
    <row r="571" spans="4:8" ht="15.75" customHeight="1">
      <c r="D571" s="15"/>
      <c r="H571" s="8"/>
    </row>
    <row r="572" spans="4:8" ht="15.75" customHeight="1">
      <c r="D572" s="15"/>
      <c r="H572" s="8"/>
    </row>
    <row r="573" spans="4:8" ht="15.75" customHeight="1">
      <c r="D573" s="15"/>
      <c r="H573" s="8"/>
    </row>
    <row r="574" spans="4:8" ht="15.75" customHeight="1">
      <c r="D574" s="15"/>
      <c r="H574" s="8"/>
    </row>
    <row r="575" spans="4:8" ht="15.75" customHeight="1">
      <c r="D575" s="15"/>
      <c r="H575" s="8"/>
    </row>
    <row r="576" spans="4:8" ht="15.75" customHeight="1">
      <c r="D576" s="15"/>
      <c r="H576" s="8"/>
    </row>
    <row r="577" spans="4:8" ht="15.75" customHeight="1">
      <c r="D577" s="15"/>
      <c r="H577" s="8"/>
    </row>
    <row r="578" spans="4:8" ht="15.75" customHeight="1">
      <c r="D578" s="15"/>
      <c r="H578" s="8"/>
    </row>
    <row r="579" spans="4:8" ht="15.75" customHeight="1">
      <c r="D579" s="15"/>
      <c r="H579" s="8"/>
    </row>
    <row r="580" spans="4:8" ht="15.75" customHeight="1">
      <c r="D580" s="15"/>
      <c r="H580" s="8"/>
    </row>
    <row r="581" spans="4:8" ht="15.75" customHeight="1">
      <c r="D581" s="15"/>
      <c r="H581" s="8"/>
    </row>
    <row r="582" spans="4:8" ht="15.75" customHeight="1">
      <c r="D582" s="15"/>
      <c r="H582" s="8"/>
    </row>
    <row r="583" spans="4:8" ht="15.75" customHeight="1">
      <c r="D583" s="15"/>
      <c r="H583" s="8"/>
    </row>
    <row r="584" spans="4:8" ht="15.75" customHeight="1">
      <c r="D584" s="15"/>
      <c r="H584" s="8"/>
    </row>
    <row r="585" spans="4:8" ht="15.75" customHeight="1">
      <c r="D585" s="15"/>
      <c r="H585" s="8"/>
    </row>
    <row r="586" spans="4:8" ht="15.75" customHeight="1">
      <c r="D586" s="15"/>
      <c r="H586" s="8"/>
    </row>
    <row r="587" spans="4:8" ht="15.75" customHeight="1">
      <c r="D587" s="15"/>
      <c r="H587" s="8"/>
    </row>
    <row r="588" spans="4:8" ht="15.75" customHeight="1">
      <c r="D588" s="15"/>
      <c r="H588" s="8"/>
    </row>
    <row r="589" spans="4:8" ht="15.75" customHeight="1">
      <c r="D589" s="15"/>
      <c r="H589" s="8"/>
    </row>
    <row r="590" spans="4:8" ht="15.75" customHeight="1">
      <c r="D590" s="15"/>
      <c r="H590" s="8"/>
    </row>
    <row r="591" spans="4:8" ht="15.75" customHeight="1">
      <c r="D591" s="15"/>
      <c r="H591" s="8"/>
    </row>
    <row r="592" spans="4:8" ht="15.75" customHeight="1">
      <c r="D592" s="15"/>
      <c r="H592" s="8"/>
    </row>
    <row r="593" spans="4:8" ht="15.75" customHeight="1">
      <c r="D593" s="15"/>
      <c r="H593" s="8"/>
    </row>
    <row r="594" spans="4:8" ht="15.75" customHeight="1">
      <c r="D594" s="15"/>
      <c r="H594" s="8"/>
    </row>
    <row r="595" spans="4:8" ht="15.75" customHeight="1">
      <c r="D595" s="15"/>
      <c r="H595" s="8"/>
    </row>
    <row r="596" spans="4:8" ht="15.75" customHeight="1">
      <c r="D596" s="15"/>
      <c r="H596" s="8"/>
    </row>
    <row r="597" spans="4:8" ht="15.75" customHeight="1">
      <c r="D597" s="15"/>
      <c r="H597" s="8"/>
    </row>
    <row r="598" spans="4:8" ht="15.75" customHeight="1">
      <c r="D598" s="15"/>
      <c r="H598" s="8"/>
    </row>
    <row r="599" spans="4:8" ht="15.75" customHeight="1">
      <c r="D599" s="15"/>
      <c r="H599" s="8"/>
    </row>
    <row r="600" spans="4:8" ht="15.75" customHeight="1">
      <c r="D600" s="15"/>
      <c r="H600" s="8"/>
    </row>
    <row r="601" spans="4:8" ht="15.75" customHeight="1">
      <c r="D601" s="15"/>
      <c r="H601" s="8"/>
    </row>
    <row r="602" spans="4:8" ht="15.75" customHeight="1">
      <c r="D602" s="15"/>
      <c r="H602" s="8"/>
    </row>
    <row r="603" spans="4:8" ht="15.75" customHeight="1">
      <c r="D603" s="15"/>
      <c r="H603" s="8"/>
    </row>
    <row r="604" spans="4:8" ht="15.75" customHeight="1">
      <c r="D604" s="15"/>
      <c r="H604" s="8"/>
    </row>
    <row r="605" spans="4:8" ht="15.75" customHeight="1">
      <c r="D605" s="15"/>
      <c r="H605" s="8"/>
    </row>
    <row r="606" spans="4:8" ht="15.75" customHeight="1">
      <c r="D606" s="15"/>
      <c r="H606" s="8"/>
    </row>
    <row r="607" spans="4:8" ht="15.75" customHeight="1">
      <c r="D607" s="15"/>
      <c r="H607" s="8"/>
    </row>
    <row r="608" spans="4:8" ht="15.75" customHeight="1">
      <c r="D608" s="15"/>
      <c r="H608" s="8"/>
    </row>
    <row r="609" spans="4:8" ht="15.75" customHeight="1">
      <c r="D609" s="15"/>
      <c r="H609" s="8"/>
    </row>
    <row r="610" spans="4:8" ht="15.75" customHeight="1">
      <c r="D610" s="15"/>
      <c r="H610" s="8"/>
    </row>
    <row r="611" spans="4:8" ht="15.75" customHeight="1">
      <c r="D611" s="15"/>
      <c r="H611" s="8"/>
    </row>
    <row r="612" spans="4:8" ht="15.75" customHeight="1">
      <c r="D612" s="15"/>
      <c r="H612" s="8"/>
    </row>
    <row r="613" spans="4:8" ht="15.75" customHeight="1">
      <c r="D613" s="15"/>
      <c r="H613" s="8"/>
    </row>
    <row r="614" spans="4:8" ht="15.75" customHeight="1">
      <c r="D614" s="15"/>
      <c r="H614" s="8"/>
    </row>
    <row r="615" spans="4:8" ht="15.75" customHeight="1">
      <c r="D615" s="15"/>
      <c r="H615" s="8"/>
    </row>
    <row r="616" spans="4:8" ht="15.75" customHeight="1">
      <c r="D616" s="15"/>
      <c r="H616" s="8"/>
    </row>
    <row r="617" spans="4:8" ht="15.75" customHeight="1">
      <c r="D617" s="15"/>
      <c r="H617" s="8"/>
    </row>
    <row r="618" spans="4:8" ht="15.75" customHeight="1">
      <c r="D618" s="15"/>
      <c r="H618" s="8"/>
    </row>
    <row r="619" spans="4:8" ht="15.75" customHeight="1">
      <c r="D619" s="15"/>
      <c r="H619" s="8"/>
    </row>
    <row r="620" spans="4:8" ht="15.75" customHeight="1">
      <c r="D620" s="15"/>
      <c r="H620" s="8"/>
    </row>
    <row r="621" spans="4:8" ht="15.75" customHeight="1">
      <c r="D621" s="15"/>
      <c r="H621" s="8"/>
    </row>
    <row r="622" spans="4:8" ht="15.75" customHeight="1">
      <c r="D622" s="15"/>
      <c r="H622" s="8"/>
    </row>
    <row r="623" spans="4:8" ht="15.75" customHeight="1">
      <c r="D623" s="15"/>
      <c r="H623" s="8"/>
    </row>
    <row r="624" spans="4:8" ht="15.75" customHeight="1">
      <c r="D624" s="15"/>
      <c r="H624" s="8"/>
    </row>
    <row r="625" spans="4:8" ht="15.75" customHeight="1">
      <c r="D625" s="15"/>
      <c r="H625" s="8"/>
    </row>
    <row r="626" spans="4:8" ht="15.75" customHeight="1">
      <c r="D626" s="15"/>
      <c r="H626" s="8"/>
    </row>
    <row r="627" spans="4:8" ht="15.75" customHeight="1">
      <c r="D627" s="15"/>
      <c r="H627" s="8"/>
    </row>
    <row r="628" spans="4:8" ht="15.75" customHeight="1">
      <c r="D628" s="15"/>
      <c r="H628" s="8"/>
    </row>
    <row r="629" spans="4:8" ht="15.75" customHeight="1">
      <c r="D629" s="15"/>
      <c r="H629" s="8"/>
    </row>
    <row r="630" spans="4:8" ht="15.75" customHeight="1">
      <c r="D630" s="15"/>
      <c r="H630" s="8"/>
    </row>
    <row r="631" spans="4:8" ht="15.75" customHeight="1">
      <c r="D631" s="15"/>
      <c r="H631" s="8"/>
    </row>
    <row r="632" spans="4:8" ht="15.75" customHeight="1">
      <c r="D632" s="15"/>
      <c r="H632" s="8"/>
    </row>
    <row r="633" spans="4:8" ht="15.75" customHeight="1">
      <c r="D633" s="15"/>
      <c r="H633" s="8"/>
    </row>
    <row r="634" spans="4:8" ht="15.75" customHeight="1">
      <c r="D634" s="15"/>
      <c r="H634" s="8"/>
    </row>
    <row r="635" spans="4:8" ht="15.75" customHeight="1">
      <c r="D635" s="15"/>
      <c r="H635" s="8"/>
    </row>
    <row r="636" spans="4:8" ht="15.75" customHeight="1">
      <c r="D636" s="15"/>
      <c r="H636" s="8"/>
    </row>
    <row r="637" spans="4:8" ht="15.75" customHeight="1">
      <c r="D637" s="15"/>
      <c r="H637" s="8"/>
    </row>
    <row r="638" spans="4:8" ht="15.75" customHeight="1">
      <c r="D638" s="15"/>
      <c r="H638" s="8"/>
    </row>
    <row r="639" spans="4:8" ht="15.75" customHeight="1">
      <c r="D639" s="15"/>
      <c r="H639" s="8"/>
    </row>
    <row r="640" spans="4:8" ht="15.75" customHeight="1">
      <c r="D640" s="15"/>
      <c r="H640" s="8"/>
    </row>
    <row r="641" spans="4:8" ht="15.75" customHeight="1">
      <c r="D641" s="15"/>
      <c r="H641" s="8"/>
    </row>
    <row r="642" spans="4:8" ht="15.75" customHeight="1">
      <c r="D642" s="15"/>
      <c r="H642" s="8"/>
    </row>
    <row r="643" spans="4:8" ht="15.75" customHeight="1">
      <c r="D643" s="15"/>
      <c r="H643" s="8"/>
    </row>
    <row r="644" spans="4:8" ht="15.75" customHeight="1">
      <c r="D644" s="15"/>
      <c r="H644" s="8"/>
    </row>
    <row r="645" spans="4:8" ht="15.75" customHeight="1">
      <c r="D645" s="15"/>
      <c r="H645" s="8"/>
    </row>
    <row r="646" spans="4:8" ht="15.75" customHeight="1">
      <c r="D646" s="15"/>
      <c r="H646" s="8"/>
    </row>
    <row r="647" spans="4:8" ht="15.75" customHeight="1">
      <c r="D647" s="15"/>
      <c r="H647" s="8"/>
    </row>
    <row r="648" spans="4:8" ht="15.75" customHeight="1">
      <c r="D648" s="15"/>
      <c r="H648" s="8"/>
    </row>
    <row r="649" spans="4:8" ht="15.75" customHeight="1">
      <c r="D649" s="15"/>
      <c r="H649" s="8"/>
    </row>
    <row r="650" spans="4:8" ht="15.75" customHeight="1">
      <c r="D650" s="15"/>
      <c r="H650" s="8"/>
    </row>
    <row r="651" spans="4:8" ht="15.75" customHeight="1">
      <c r="D651" s="15"/>
      <c r="H651" s="8"/>
    </row>
    <row r="652" spans="4:8" ht="15.75" customHeight="1">
      <c r="D652" s="15"/>
      <c r="H652" s="8"/>
    </row>
    <row r="653" spans="4:8" ht="15.75" customHeight="1">
      <c r="D653" s="15"/>
      <c r="H653" s="8"/>
    </row>
    <row r="654" spans="4:8" ht="15.75" customHeight="1">
      <c r="D654" s="15"/>
      <c r="H654" s="8"/>
    </row>
    <row r="655" spans="4:8" ht="15.75" customHeight="1">
      <c r="D655" s="15"/>
      <c r="H655" s="8"/>
    </row>
    <row r="656" spans="4:8" ht="15.75" customHeight="1">
      <c r="D656" s="15"/>
      <c r="H656" s="8"/>
    </row>
    <row r="657" spans="4:8" ht="15.75" customHeight="1">
      <c r="D657" s="15"/>
      <c r="H657" s="8"/>
    </row>
    <row r="658" spans="4:8" ht="15.75" customHeight="1">
      <c r="D658" s="15"/>
      <c r="H658" s="8"/>
    </row>
    <row r="659" spans="4:8" ht="15.75" customHeight="1">
      <c r="D659" s="15"/>
      <c r="H659" s="8"/>
    </row>
    <row r="660" spans="4:8" ht="15.75" customHeight="1">
      <c r="D660" s="15"/>
      <c r="H660" s="8"/>
    </row>
    <row r="661" spans="4:8" ht="15.75" customHeight="1">
      <c r="D661" s="15"/>
      <c r="H661" s="8"/>
    </row>
    <row r="662" spans="4:8" ht="15.75" customHeight="1">
      <c r="D662" s="15"/>
      <c r="H662" s="8"/>
    </row>
    <row r="663" spans="4:8" ht="15.75" customHeight="1">
      <c r="D663" s="15"/>
      <c r="H663" s="8"/>
    </row>
    <row r="664" spans="4:8" ht="15.75" customHeight="1">
      <c r="D664" s="15"/>
      <c r="H664" s="8"/>
    </row>
    <row r="665" spans="4:8" ht="15.75" customHeight="1">
      <c r="D665" s="15"/>
      <c r="H665" s="8"/>
    </row>
    <row r="666" spans="4:8" ht="15.75" customHeight="1">
      <c r="D666" s="15"/>
      <c r="H666" s="8"/>
    </row>
    <row r="667" spans="4:8" ht="15.75" customHeight="1">
      <c r="D667" s="15"/>
      <c r="H667" s="8"/>
    </row>
    <row r="668" spans="4:8" ht="15.75" customHeight="1">
      <c r="D668" s="15"/>
      <c r="H668" s="8"/>
    </row>
    <row r="669" spans="4:8" ht="15.75" customHeight="1">
      <c r="D669" s="15"/>
      <c r="H669" s="8"/>
    </row>
    <row r="670" spans="4:8" ht="15.75" customHeight="1">
      <c r="D670" s="15"/>
      <c r="H670" s="8"/>
    </row>
    <row r="671" spans="4:8" ht="15.75" customHeight="1">
      <c r="D671" s="15"/>
      <c r="H671" s="8"/>
    </row>
    <row r="672" spans="4:8" ht="15.75" customHeight="1">
      <c r="D672" s="15"/>
      <c r="H672" s="8"/>
    </row>
    <row r="673" spans="4:8" ht="15.75" customHeight="1">
      <c r="D673" s="15"/>
      <c r="H673" s="8"/>
    </row>
    <row r="674" spans="4:8" ht="15.75" customHeight="1">
      <c r="D674" s="15"/>
      <c r="H674" s="8"/>
    </row>
    <row r="675" spans="4:8" ht="15.75" customHeight="1">
      <c r="D675" s="15"/>
      <c r="H675" s="8"/>
    </row>
    <row r="676" spans="4:8" ht="15.75" customHeight="1">
      <c r="D676" s="15"/>
      <c r="H676" s="8"/>
    </row>
    <row r="677" spans="4:8" ht="15.75" customHeight="1">
      <c r="D677" s="15"/>
      <c r="H677" s="8"/>
    </row>
    <row r="678" spans="4:8" ht="15.75" customHeight="1">
      <c r="D678" s="15"/>
      <c r="H678" s="8"/>
    </row>
    <row r="679" spans="4:8" ht="15.75" customHeight="1">
      <c r="D679" s="15"/>
      <c r="H679" s="8"/>
    </row>
    <row r="680" spans="4:8" ht="15.75" customHeight="1">
      <c r="D680" s="15"/>
      <c r="H680" s="8"/>
    </row>
    <row r="681" spans="4:8" ht="15.75" customHeight="1">
      <c r="D681" s="15"/>
      <c r="H681" s="8"/>
    </row>
    <row r="682" spans="4:8" ht="15.75" customHeight="1">
      <c r="D682" s="15"/>
      <c r="H682" s="8"/>
    </row>
    <row r="683" spans="4:8" ht="15.75" customHeight="1">
      <c r="D683" s="15"/>
      <c r="H683" s="8"/>
    </row>
    <row r="684" spans="4:8" ht="15.75" customHeight="1">
      <c r="D684" s="15"/>
      <c r="H684" s="8"/>
    </row>
    <row r="685" spans="4:8" ht="15.75" customHeight="1">
      <c r="D685" s="15"/>
      <c r="H685" s="8"/>
    </row>
    <row r="686" spans="4:8" ht="15.75" customHeight="1">
      <c r="D686" s="15"/>
      <c r="H686" s="8"/>
    </row>
    <row r="687" spans="4:8" ht="15.75" customHeight="1">
      <c r="D687" s="15"/>
      <c r="H687" s="8"/>
    </row>
    <row r="688" spans="4:8" ht="15.75" customHeight="1">
      <c r="D688" s="15"/>
      <c r="H688" s="8"/>
    </row>
    <row r="689" spans="4:8" ht="15.75" customHeight="1">
      <c r="D689" s="15"/>
      <c r="H689" s="8"/>
    </row>
    <row r="690" spans="4:8" ht="15.75" customHeight="1">
      <c r="D690" s="15"/>
      <c r="H690" s="8"/>
    </row>
    <row r="691" spans="4:8" ht="15.75" customHeight="1">
      <c r="D691" s="15"/>
      <c r="H691" s="8"/>
    </row>
    <row r="692" spans="4:8" ht="15.75" customHeight="1">
      <c r="D692" s="15"/>
      <c r="H692" s="8"/>
    </row>
    <row r="693" spans="4:8" ht="15.75" customHeight="1">
      <c r="D693" s="15"/>
      <c r="H693" s="8"/>
    </row>
    <row r="694" spans="4:8" ht="15.75" customHeight="1">
      <c r="D694" s="15"/>
      <c r="H694" s="8"/>
    </row>
    <row r="695" spans="4:8" ht="15.75" customHeight="1">
      <c r="D695" s="15"/>
      <c r="H695" s="8"/>
    </row>
    <row r="696" spans="4:8" ht="15.75" customHeight="1">
      <c r="D696" s="15"/>
      <c r="H696" s="8"/>
    </row>
    <row r="697" spans="4:8" ht="15.75" customHeight="1">
      <c r="D697" s="15"/>
      <c r="H697" s="8"/>
    </row>
    <row r="698" spans="4:8" ht="15.75" customHeight="1">
      <c r="D698" s="15"/>
      <c r="H698" s="8"/>
    </row>
    <row r="699" spans="4:8" ht="15.75" customHeight="1">
      <c r="D699" s="15"/>
      <c r="H699" s="8"/>
    </row>
    <row r="700" spans="4:8" ht="15.75" customHeight="1">
      <c r="D700" s="15"/>
      <c r="H700" s="8"/>
    </row>
    <row r="701" spans="4:8" ht="15.75" customHeight="1">
      <c r="D701" s="15"/>
      <c r="H701" s="8"/>
    </row>
    <row r="702" spans="4:8" ht="15.75" customHeight="1">
      <c r="D702" s="15"/>
      <c r="H702" s="8"/>
    </row>
    <row r="703" spans="4:8" ht="15.75" customHeight="1">
      <c r="D703" s="15"/>
      <c r="H703" s="8"/>
    </row>
    <row r="704" spans="4:8" ht="15.75" customHeight="1">
      <c r="D704" s="15"/>
      <c r="H704" s="8"/>
    </row>
    <row r="705" spans="4:8" ht="15.75" customHeight="1">
      <c r="D705" s="15"/>
      <c r="H705" s="8"/>
    </row>
    <row r="706" spans="4:8" ht="15.75" customHeight="1">
      <c r="D706" s="15"/>
      <c r="H706" s="8"/>
    </row>
    <row r="707" spans="4:8" ht="15.75" customHeight="1">
      <c r="D707" s="15"/>
      <c r="H707" s="8"/>
    </row>
    <row r="708" spans="4:8" ht="15.75" customHeight="1">
      <c r="D708" s="15"/>
      <c r="H708" s="8"/>
    </row>
    <row r="709" spans="4:8" ht="15.75" customHeight="1">
      <c r="D709" s="15"/>
      <c r="H709" s="8"/>
    </row>
    <row r="710" spans="4:8" ht="15.75" customHeight="1">
      <c r="D710" s="15"/>
      <c r="H710" s="8"/>
    </row>
    <row r="711" spans="4:8" ht="15.75" customHeight="1">
      <c r="D711" s="15"/>
      <c r="H711" s="8"/>
    </row>
    <row r="712" spans="4:8" ht="15.75" customHeight="1">
      <c r="D712" s="15"/>
      <c r="H712" s="8"/>
    </row>
    <row r="713" spans="4:8" ht="15.75" customHeight="1">
      <c r="D713" s="15"/>
      <c r="H713" s="8"/>
    </row>
    <row r="714" spans="4:8" ht="15.75" customHeight="1">
      <c r="D714" s="15"/>
      <c r="H714" s="8"/>
    </row>
    <row r="715" spans="4:8" ht="15.75" customHeight="1">
      <c r="D715" s="15"/>
      <c r="H715" s="8"/>
    </row>
    <row r="716" spans="4:8" ht="15.75" customHeight="1">
      <c r="D716" s="15"/>
      <c r="H716" s="8"/>
    </row>
    <row r="717" spans="4:8" ht="15.75" customHeight="1">
      <c r="D717" s="15"/>
      <c r="H717" s="8"/>
    </row>
    <row r="718" spans="4:8" ht="15.75" customHeight="1">
      <c r="D718" s="15"/>
      <c r="H718" s="8"/>
    </row>
    <row r="719" spans="4:8" ht="15.75" customHeight="1">
      <c r="D719" s="15"/>
      <c r="H719" s="8"/>
    </row>
    <row r="720" spans="4:8" ht="15.75" customHeight="1">
      <c r="D720" s="15"/>
      <c r="H720" s="8"/>
    </row>
    <row r="721" spans="4:8" ht="15.75" customHeight="1">
      <c r="D721" s="15"/>
      <c r="H721" s="8"/>
    </row>
    <row r="722" spans="4:8" ht="15.75" customHeight="1">
      <c r="D722" s="15"/>
      <c r="H722" s="8"/>
    </row>
    <row r="723" spans="4:8" ht="15.75" customHeight="1">
      <c r="D723" s="15"/>
      <c r="H723" s="8"/>
    </row>
    <row r="724" spans="4:8" ht="15.75" customHeight="1">
      <c r="D724" s="15"/>
      <c r="H724" s="8"/>
    </row>
    <row r="725" spans="4:8" ht="15.75" customHeight="1">
      <c r="D725" s="15"/>
      <c r="H725" s="8"/>
    </row>
    <row r="726" spans="4:8" ht="15.75" customHeight="1">
      <c r="D726" s="15"/>
      <c r="H726" s="8"/>
    </row>
    <row r="727" spans="4:8" ht="15.75" customHeight="1">
      <c r="D727" s="15"/>
      <c r="H727" s="8"/>
    </row>
    <row r="728" spans="4:8" ht="15.75" customHeight="1">
      <c r="D728" s="15"/>
      <c r="H728" s="8"/>
    </row>
    <row r="729" spans="4:8" ht="15.75" customHeight="1">
      <c r="D729" s="15"/>
      <c r="H729" s="8"/>
    </row>
    <row r="730" spans="4:8" ht="15.75" customHeight="1">
      <c r="D730" s="15"/>
      <c r="H730" s="8"/>
    </row>
    <row r="731" spans="4:8" ht="15.75" customHeight="1">
      <c r="D731" s="15"/>
      <c r="H731" s="8"/>
    </row>
    <row r="732" spans="4:8" ht="15.75" customHeight="1">
      <c r="D732" s="15"/>
      <c r="H732" s="8"/>
    </row>
    <row r="733" spans="4:8" ht="15.75" customHeight="1">
      <c r="D733" s="15"/>
      <c r="H733" s="8"/>
    </row>
    <row r="734" spans="4:8" ht="15.75" customHeight="1">
      <c r="D734" s="15"/>
      <c r="H734" s="8"/>
    </row>
    <row r="735" spans="4:8" ht="15.75" customHeight="1">
      <c r="D735" s="15"/>
      <c r="H735" s="8"/>
    </row>
    <row r="736" spans="4:8" ht="15.75" customHeight="1">
      <c r="D736" s="15"/>
      <c r="H736" s="8"/>
    </row>
    <row r="737" spans="4:8" ht="15.75" customHeight="1">
      <c r="D737" s="15"/>
      <c r="H737" s="8"/>
    </row>
    <row r="738" spans="4:8" ht="15.75" customHeight="1">
      <c r="D738" s="15"/>
      <c r="H738" s="8"/>
    </row>
    <row r="739" spans="4:8" ht="15.75" customHeight="1">
      <c r="D739" s="15"/>
      <c r="H739" s="8"/>
    </row>
    <row r="740" spans="4:8" ht="15.75" customHeight="1">
      <c r="D740" s="15"/>
      <c r="H740" s="8"/>
    </row>
    <row r="741" spans="4:8" ht="15.75" customHeight="1">
      <c r="D741" s="15"/>
      <c r="H741" s="8"/>
    </row>
    <row r="742" spans="4:8" ht="15.75" customHeight="1">
      <c r="D742" s="15"/>
      <c r="H742" s="8"/>
    </row>
    <row r="743" spans="4:8" ht="15.75" customHeight="1">
      <c r="D743" s="15"/>
      <c r="H743" s="8"/>
    </row>
    <row r="744" spans="4:8" ht="15.75" customHeight="1">
      <c r="D744" s="15"/>
      <c r="H744" s="8"/>
    </row>
    <row r="745" spans="4:8" ht="15.75" customHeight="1">
      <c r="D745" s="15"/>
      <c r="H745" s="8"/>
    </row>
    <row r="746" spans="4:8" ht="15.75" customHeight="1">
      <c r="D746" s="15"/>
      <c r="H746" s="8"/>
    </row>
    <row r="747" spans="4:8" ht="15.75" customHeight="1">
      <c r="D747" s="15"/>
      <c r="H747" s="8"/>
    </row>
    <row r="748" spans="4:8" ht="15.75" customHeight="1">
      <c r="D748" s="15"/>
      <c r="H748" s="8"/>
    </row>
    <row r="749" spans="4:8" ht="15.75" customHeight="1">
      <c r="D749" s="15"/>
      <c r="H749" s="8"/>
    </row>
    <row r="750" spans="4:8" ht="15.75" customHeight="1">
      <c r="D750" s="15"/>
      <c r="H750" s="8"/>
    </row>
    <row r="751" spans="4:8" ht="15.75" customHeight="1">
      <c r="D751" s="15"/>
      <c r="H751" s="8"/>
    </row>
    <row r="752" spans="4:8" ht="15.75" customHeight="1">
      <c r="D752" s="15"/>
      <c r="H752" s="8"/>
    </row>
    <row r="753" spans="4:8" ht="15.75" customHeight="1">
      <c r="D753" s="15"/>
      <c r="H753" s="8"/>
    </row>
    <row r="754" spans="4:8" ht="15.75" customHeight="1">
      <c r="D754" s="15"/>
      <c r="H754" s="8"/>
    </row>
    <row r="755" spans="4:8" ht="15.75" customHeight="1">
      <c r="D755" s="15"/>
      <c r="H755" s="8"/>
    </row>
    <row r="756" spans="4:8" ht="15.75" customHeight="1">
      <c r="D756" s="15"/>
      <c r="H756" s="8"/>
    </row>
    <row r="757" spans="4:8" ht="15.75" customHeight="1">
      <c r="D757" s="15"/>
      <c r="H757" s="8"/>
    </row>
    <row r="758" spans="4:8" ht="15.75" customHeight="1">
      <c r="D758" s="15"/>
      <c r="H758" s="8"/>
    </row>
    <row r="759" spans="4:8" ht="15.75" customHeight="1">
      <c r="D759" s="15"/>
      <c r="H759" s="8"/>
    </row>
    <row r="760" spans="4:8" ht="15.75" customHeight="1">
      <c r="D760" s="15"/>
      <c r="H760" s="8"/>
    </row>
    <row r="761" spans="4:8" ht="15.75" customHeight="1">
      <c r="D761" s="15"/>
      <c r="H761" s="8"/>
    </row>
    <row r="762" spans="4:8" ht="15.75" customHeight="1">
      <c r="D762" s="15"/>
      <c r="H762" s="8"/>
    </row>
    <row r="763" spans="4:8" ht="15.75" customHeight="1">
      <c r="D763" s="15"/>
      <c r="H763" s="8"/>
    </row>
    <row r="764" spans="4:8" ht="15.75" customHeight="1">
      <c r="D764" s="15"/>
      <c r="H764" s="8"/>
    </row>
    <row r="765" spans="4:8" ht="15.75" customHeight="1">
      <c r="D765" s="15"/>
      <c r="H765" s="8"/>
    </row>
    <row r="766" spans="4:8" ht="15.75" customHeight="1">
      <c r="D766" s="15"/>
      <c r="H766" s="8"/>
    </row>
    <row r="767" spans="4:8" ht="15.75" customHeight="1">
      <c r="D767" s="15"/>
      <c r="H767" s="8"/>
    </row>
    <row r="768" spans="4:8" ht="15.75" customHeight="1">
      <c r="D768" s="15"/>
      <c r="H768" s="8"/>
    </row>
    <row r="769" spans="4:8" ht="15.75" customHeight="1">
      <c r="D769" s="15"/>
      <c r="H769" s="8"/>
    </row>
    <row r="770" spans="4:8" ht="15.75" customHeight="1">
      <c r="D770" s="15"/>
      <c r="H770" s="8"/>
    </row>
    <row r="771" spans="4:8" ht="15.75" customHeight="1">
      <c r="D771" s="15"/>
      <c r="H771" s="8"/>
    </row>
    <row r="772" spans="4:8" ht="15.75" customHeight="1">
      <c r="D772" s="15"/>
      <c r="H772" s="8"/>
    </row>
    <row r="773" spans="4:8" ht="15.75" customHeight="1">
      <c r="D773" s="15"/>
      <c r="H773" s="8"/>
    </row>
    <row r="774" spans="4:8" ht="15.75" customHeight="1">
      <c r="D774" s="15"/>
      <c r="H774" s="8"/>
    </row>
    <row r="775" spans="4:8" ht="15.75" customHeight="1">
      <c r="D775" s="15"/>
      <c r="H775" s="8"/>
    </row>
    <row r="776" spans="4:8" ht="15.75" customHeight="1">
      <c r="D776" s="15"/>
      <c r="H776" s="8"/>
    </row>
    <row r="777" spans="4:8" ht="15.75" customHeight="1">
      <c r="D777" s="15"/>
      <c r="H777" s="8"/>
    </row>
    <row r="778" spans="4:8" ht="15.75" customHeight="1">
      <c r="D778" s="15"/>
      <c r="H778" s="8"/>
    </row>
    <row r="779" spans="4:8" ht="15.75" customHeight="1">
      <c r="D779" s="15"/>
      <c r="H779" s="8"/>
    </row>
    <row r="780" spans="4:8" ht="15.75" customHeight="1">
      <c r="D780" s="15"/>
      <c r="H780" s="8"/>
    </row>
    <row r="781" spans="4:8" ht="15.75" customHeight="1">
      <c r="D781" s="15"/>
      <c r="H781" s="8"/>
    </row>
    <row r="782" spans="4:8" ht="15.75" customHeight="1">
      <c r="D782" s="15"/>
      <c r="H782" s="8"/>
    </row>
    <row r="783" spans="4:8" ht="15.75" customHeight="1">
      <c r="D783" s="15"/>
      <c r="H783" s="8"/>
    </row>
    <row r="784" spans="4:8" ht="15.75" customHeight="1">
      <c r="D784" s="15"/>
      <c r="H784" s="8"/>
    </row>
    <row r="785" spans="4:8" ht="15.75" customHeight="1">
      <c r="D785" s="15"/>
      <c r="H785" s="8"/>
    </row>
    <row r="786" spans="4:8" ht="15.75" customHeight="1">
      <c r="D786" s="15"/>
      <c r="H786" s="8"/>
    </row>
    <row r="787" spans="4:8" ht="15.75" customHeight="1">
      <c r="D787" s="15"/>
      <c r="H787" s="8"/>
    </row>
    <row r="788" spans="4:8" ht="15.75" customHeight="1">
      <c r="D788" s="15"/>
      <c r="H788" s="8"/>
    </row>
    <row r="789" spans="4:8" ht="15.75" customHeight="1">
      <c r="D789" s="15"/>
      <c r="H789" s="8"/>
    </row>
    <row r="790" spans="4:8" ht="15.75" customHeight="1">
      <c r="D790" s="15"/>
      <c r="H790" s="8"/>
    </row>
    <row r="791" spans="4:8" ht="15.75" customHeight="1">
      <c r="D791" s="15"/>
      <c r="H791" s="8"/>
    </row>
    <row r="792" spans="4:8" ht="15.75" customHeight="1">
      <c r="D792" s="15"/>
      <c r="H792" s="8"/>
    </row>
    <row r="793" spans="4:8" ht="15.75" customHeight="1">
      <c r="D793" s="15"/>
      <c r="H793" s="8"/>
    </row>
    <row r="794" spans="4:8" ht="15.75" customHeight="1">
      <c r="D794" s="15"/>
      <c r="H794" s="8"/>
    </row>
    <row r="795" spans="4:8" ht="15.75" customHeight="1">
      <c r="D795" s="15"/>
      <c r="H795" s="8"/>
    </row>
    <row r="796" spans="4:8" ht="15.75" customHeight="1">
      <c r="D796" s="15"/>
      <c r="H796" s="8"/>
    </row>
    <row r="797" spans="4:8" ht="15.75" customHeight="1">
      <c r="D797" s="15"/>
      <c r="H797" s="8"/>
    </row>
    <row r="798" spans="4:8" ht="15.75" customHeight="1">
      <c r="D798" s="15"/>
      <c r="H798" s="8"/>
    </row>
    <row r="799" spans="4:8" ht="15.75" customHeight="1">
      <c r="D799" s="15"/>
      <c r="H799" s="8"/>
    </row>
    <row r="800" spans="4:8" ht="15.75" customHeight="1">
      <c r="D800" s="15"/>
      <c r="H800" s="8"/>
    </row>
    <row r="801" spans="4:8" ht="15.75" customHeight="1">
      <c r="D801" s="15"/>
      <c r="H801" s="8"/>
    </row>
    <row r="802" spans="4:8" ht="15.75" customHeight="1">
      <c r="D802" s="15"/>
      <c r="H802" s="8"/>
    </row>
    <row r="803" spans="4:8" ht="15.75" customHeight="1">
      <c r="D803" s="15"/>
      <c r="H803" s="8"/>
    </row>
    <row r="804" spans="4:8" ht="15.75" customHeight="1">
      <c r="D804" s="15"/>
      <c r="H804" s="8"/>
    </row>
    <row r="805" spans="4:8" ht="15.75" customHeight="1">
      <c r="D805" s="15"/>
      <c r="H805" s="8"/>
    </row>
    <row r="806" spans="4:8" ht="15.75" customHeight="1">
      <c r="D806" s="15"/>
      <c r="H806" s="8"/>
    </row>
    <row r="807" spans="4:8" ht="15.75" customHeight="1">
      <c r="D807" s="15"/>
      <c r="H807" s="8"/>
    </row>
    <row r="808" spans="4:8" ht="15.75" customHeight="1">
      <c r="D808" s="15"/>
      <c r="H808" s="8"/>
    </row>
    <row r="809" spans="4:8" ht="15.75" customHeight="1">
      <c r="D809" s="15"/>
      <c r="H809" s="8"/>
    </row>
    <row r="810" spans="4:8" ht="15.75" customHeight="1">
      <c r="D810" s="15"/>
      <c r="H810" s="8"/>
    </row>
    <row r="811" spans="4:8" ht="15.75" customHeight="1"/>
    <row r="812" spans="4:8" ht="15.75" customHeight="1"/>
    <row r="813" spans="4:8" ht="15.75" customHeight="1"/>
    <row r="814" spans="4:8" ht="15.75" customHeight="1"/>
    <row r="815" spans="4:8" ht="15.75" customHeight="1"/>
    <row r="816" spans="4:8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/>
  </sheetData>
  <autoFilter ref="H1:H811" xr:uid="{00000000-0001-0000-0000-000000000000}"/>
  <mergeCells count="2">
    <mergeCell ref="K173:L173"/>
    <mergeCell ref="K172:L172"/>
  </mergeCells>
  <phoneticPr fontId="3" type="noConversion"/>
  <pageMargins left="0.70866141732283472" right="0.70866141732283472" top="0.74803149606299213" bottom="0.74803149606299213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Salvatierra</dc:creator>
  <cp:lastModifiedBy>Pedro </cp:lastModifiedBy>
  <dcterms:created xsi:type="dcterms:W3CDTF">2017-06-22T16:26:47Z</dcterms:created>
  <dcterms:modified xsi:type="dcterms:W3CDTF">2023-04-12T19:33:11Z</dcterms:modified>
</cp:coreProperties>
</file>
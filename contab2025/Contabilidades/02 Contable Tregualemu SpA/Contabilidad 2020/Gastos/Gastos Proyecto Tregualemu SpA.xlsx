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autoCompressPictures="0"/>
  <mc:AlternateContent xmlns:mc="http://schemas.openxmlformats.org/markup-compatibility/2006">
    <mc:Choice Requires="x15">
      <x15ac:absPath xmlns:x15ac="http://schemas.microsoft.com/office/spreadsheetml/2010/11/ac" url="D:\Dropbox\Antecedentes y gastos Tregualemu SpA\Gastos\"/>
    </mc:Choice>
  </mc:AlternateContent>
  <xr:revisionPtr revIDLastSave="0" documentId="13_ncr:1_{8283FE2F-C55D-421E-A8F1-4ABBA3F42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Sheet1!$F$101:$F$130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43" i="1" l="1"/>
  <c r="C144" i="1"/>
  <c r="C145" i="1"/>
  <c r="C146" i="1"/>
  <c r="C147" i="1"/>
  <c r="C148" i="1"/>
  <c r="C149" i="1"/>
  <c r="C150" i="1"/>
  <c r="C151" i="1"/>
  <c r="C152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G100" i="1"/>
  <c r="C101" i="1" s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42" i="1"/>
  <c r="B190" i="1"/>
  <c r="J103" i="1"/>
  <c r="L103" i="1" s="1"/>
  <c r="L100" i="1"/>
  <c r="J102" i="1"/>
  <c r="L102" i="1"/>
  <c r="K100" i="1"/>
  <c r="F59" i="1"/>
  <c r="F58" i="1"/>
  <c r="D32" i="1"/>
  <c r="M8" i="1"/>
  <c r="L8" i="1"/>
  <c r="K102" i="1"/>
  <c r="K103" i="1" l="1"/>
  <c r="C103" i="1"/>
  <c r="C102" i="1"/>
  <c r="C190" i="1" l="1"/>
  <c r="B192" i="1" s="1"/>
</calcChain>
</file>

<file path=xl/sharedStrings.xml><?xml version="1.0" encoding="utf-8"?>
<sst xmlns="http://schemas.openxmlformats.org/spreadsheetml/2006/main" count="505" uniqueCount="215">
  <si>
    <t>Gastos Proyecto Tregualemu SpA</t>
  </si>
  <si>
    <t>Ingreso</t>
  </si>
  <si>
    <t>Egreso</t>
  </si>
  <si>
    <t>Fecha</t>
  </si>
  <si>
    <t>Concepto</t>
  </si>
  <si>
    <t>Firma electronica en notaria para constitucion sociedad Tregualemu SpA</t>
  </si>
  <si>
    <t>Boleta</t>
  </si>
  <si>
    <t>Respaldo</t>
  </si>
  <si>
    <t>Pagado por</t>
  </si>
  <si>
    <t>Pedro</t>
  </si>
  <si>
    <t>Certificado informes previos terreno tregualemu (CIP)</t>
  </si>
  <si>
    <t>Felipe</t>
  </si>
  <si>
    <t>Viaje Tregualemu (para compra de propiedad)/ Compra copec comida</t>
  </si>
  <si>
    <t>Viaje Tregualemu (para compra de propiedad)Bencina Copec</t>
  </si>
  <si>
    <t>Viaje Tregualemu (para compra de propiedad)Estacionamiento</t>
  </si>
  <si>
    <t>Viaje Tregualemu (para compra de propiedad)Comida</t>
  </si>
  <si>
    <t>Viaje Tregualemu (para compra de propiedad) Peaje</t>
  </si>
  <si>
    <t xml:space="preserve">Viaje Tregualemu (para compra de propiedad)Bencina </t>
  </si>
  <si>
    <t>Viaje Tregualemu (para compra de propiedad) Comida Bebidas</t>
  </si>
  <si>
    <t>Viaje Tregualemu (para compra de propiedad) Comida Ceviche</t>
  </si>
  <si>
    <t>Viaje Tregualemu (para compra de propiedad) Comida pescaderia</t>
  </si>
  <si>
    <t>Viaje Tregualemu (para compra de propiedad) Comida verdura</t>
  </si>
  <si>
    <t xml:space="preserve">Viaje Tregualemu (para compra de propiedad) Comida </t>
  </si>
  <si>
    <t xml:space="preserve">Viaje Tregualemu (para compra de propiedad) Impresión poderes para compra </t>
  </si>
  <si>
    <t>Viaje Tregualemu (para compra de propiedad)Almuerzo en Quirihue</t>
  </si>
  <si>
    <t>Adelanto Topografo Manuel Labrin para determinacion de deslindes propiedad</t>
  </si>
  <si>
    <t>No</t>
  </si>
  <si>
    <t>Visita Ingeniero Forestal revisión de especies protegidas CONAF. Pedro Herrera</t>
  </si>
  <si>
    <t xml:space="preserve">Viaje Tregualemu (para compra de propiedad) Alojamiento cabañas Lovel Van Pelluhue. </t>
  </si>
  <si>
    <t>Inscripcion propiedad en Conservador de bienes raíces</t>
  </si>
  <si>
    <t xml:space="preserve">Felipe </t>
  </si>
  <si>
    <t>Transferencia</t>
  </si>
  <si>
    <t>Gasto emisión Vale Vista 100.000.000</t>
  </si>
  <si>
    <t>Gasto emisión Vale Vista 10.000.000</t>
  </si>
  <si>
    <t>Crédito Jorge Hiriart</t>
  </si>
  <si>
    <t>Compra terreno Tregualemu</t>
  </si>
  <si>
    <t>Escritura e inscripcion</t>
  </si>
  <si>
    <t>CERRAR MANDATO O MUTUO</t>
  </si>
  <si>
    <t>Gasto asesor inmobiliario en compra. Eugenio Cavallieri</t>
  </si>
  <si>
    <t>Vale Vista e instrucciones notariales</t>
  </si>
  <si>
    <t>TOTAL</t>
  </si>
  <si>
    <t>SALDO EN CUENTA</t>
  </si>
  <si>
    <t>Diferencia a pagar</t>
  </si>
  <si>
    <t>Gasto</t>
  </si>
  <si>
    <t>Viaje Tregualemu (para compra de propiedad) Tags</t>
  </si>
  <si>
    <t xml:space="preserve">Viaje Tregualemu (para compra de propiedad) Bencina </t>
  </si>
  <si>
    <t>Viaje Tregualemu (para compra de propiedad) Lavado</t>
  </si>
  <si>
    <t>Vale Vista</t>
  </si>
  <si>
    <t>Adelanto Topografo Manuel Labrin topografí, curvas de nivel, deslindes</t>
  </si>
  <si>
    <t>Propinas lavado y bencina</t>
  </si>
  <si>
    <t>sin respaldo</t>
  </si>
  <si>
    <t>Reembolso gastos PL</t>
  </si>
  <si>
    <t>Reembolso gastos FH</t>
  </si>
  <si>
    <t>Reembolso gastos vale vistas FH</t>
  </si>
  <si>
    <t>Viaje Tregualemu semana 14-9-2020 Topógrafos. Peaje</t>
  </si>
  <si>
    <t>Sin respaldo</t>
  </si>
  <si>
    <t>Viaje Tregualemu semana 14-9-2020 Topógrafos. Compra comida pescadería</t>
  </si>
  <si>
    <t>Viaje Tregualemu semana 14-9-2020 Topógrafos. Desayuno</t>
  </si>
  <si>
    <t>Viaje Tregualemu semana 14-9-2020 Topógrafos. Almuerzo</t>
  </si>
  <si>
    <t>Viaje Tregualemu semana 14-9-2020 Topógrafos. Comida</t>
  </si>
  <si>
    <t>Viaje Tregualemu semana 14-9-2020 Topógrafos. Almuerzo Copec</t>
  </si>
  <si>
    <t>Viaje Tregualemu semana 14-9-2020 Topógrafos. Bencina</t>
  </si>
  <si>
    <t>Viaje Tregualemu semana 14-9-2020 Topógrafos. Supermercado</t>
  </si>
  <si>
    <t>Viaje Tregualemu semana 14-9-2020 Topógrafos. Propina</t>
  </si>
  <si>
    <t>Viaje Tregualemu semana 14-9-2020 Topógrafos. Lavado auto</t>
  </si>
  <si>
    <t>Viaje Tregualemu semana 14-9-2020 Topógrafos. TAG</t>
  </si>
  <si>
    <t>Viaje Tregualemu semana 14-9-2020 Topógrafos. Sapray para marcar deslindes del predio</t>
  </si>
  <si>
    <t>Viaje Tregualemu semana 14-9-2020 Topógrafos. Valor Día trabajador (don enrique, vecino) por limpiar maleza</t>
  </si>
  <si>
    <t>Viaje Tregualemu semana 14-9-2020 Topógrafos. Alojamiento cabañas lovel van</t>
  </si>
  <si>
    <t>Viaje Tregualemu semana 14-9-2020 Topógrafos. Carga celular trabajador para poder comunicarse</t>
  </si>
  <si>
    <t>Comida Directorio</t>
  </si>
  <si>
    <t>Envío Firma Mutuo por Rappi</t>
  </si>
  <si>
    <t>Comprobante Rappi</t>
  </si>
  <si>
    <t>Viaje a Tregualemu semana 5-10-2020.</t>
  </si>
  <si>
    <t>Viaje a Tregualemu semana 5-10-2020. Bencina Copec</t>
  </si>
  <si>
    <t>Viaje a Tregualemu semana 5-10-2020. Lavado auto Copec</t>
  </si>
  <si>
    <t xml:space="preserve">Viaje a Tregualemu semana 5-10-2020. Propina copec. </t>
  </si>
  <si>
    <t>Sin Respaldo</t>
  </si>
  <si>
    <t>Viaje a Tregualemu semana 5-10-2020. Bencina.</t>
  </si>
  <si>
    <t>Viaje a Tregualemu semana 5-10-2020. Peaje</t>
  </si>
  <si>
    <t>Viaje a Tregualemu semana 5-10-2020. Comida.</t>
  </si>
  <si>
    <t>Viaje a Tregualemu semana 5-10-2020. Almuerzo carretera Juan y Medio</t>
  </si>
  <si>
    <t>91 Pedro 31 Felipe</t>
  </si>
  <si>
    <t>Viaje a Tregualemu semana 5-10-2020. alambre de puas y grapas para cerco del predio</t>
  </si>
  <si>
    <t>Viaje a Tregualemu semana 5-10-2020. Almuerzo y comida.</t>
  </si>
  <si>
    <t>Viaje a Tregualemu semana 5-10-2020. picnic</t>
  </si>
  <si>
    <t>Viaje a Tregualemu semana 5-10-2020. Compra polines de madera para construccion de cerco del predio</t>
  </si>
  <si>
    <t>Viaje a Tregualemu semana 5-10-2020. Comida</t>
  </si>
  <si>
    <t>Viaje a Tregualemu semana 5-10-2020. Agua.</t>
  </si>
  <si>
    <t>Viaje a Tregualemu semana 5-10-2020. Pago dias trabajados a don enrique ($25.000*3.5)</t>
  </si>
  <si>
    <t>Transferencias</t>
  </si>
  <si>
    <t>Viaje Tregualemu semana 5-10-2020. TAG</t>
  </si>
  <si>
    <t>Viaje a Tregualemu semana 5-10-2020. Propina bencina Copec</t>
  </si>
  <si>
    <t>Transferencia y Boleta</t>
  </si>
  <si>
    <t>Pago contabilidad de septiembre 2020</t>
  </si>
  <si>
    <t>Factura electrónica</t>
  </si>
  <si>
    <t>Pago Saldo I Etapa Topografía I</t>
  </si>
  <si>
    <t>Pago Saldo I Etapa Topografía II</t>
  </si>
  <si>
    <t>Pago Saldo I Etapa Topografía III</t>
  </si>
  <si>
    <t>Préstamo Jorge Hiriart Proyecto</t>
  </si>
  <si>
    <t>Pago Inicial Etapa II. Plano y subdivisión</t>
  </si>
  <si>
    <t>Egresos</t>
  </si>
  <si>
    <t>** Viaje 26 octubre corresponde 2/3 a La Reformita (proyecto nuevo) y 1/3 a Tregualemu Spa, según dias dedicados a cada proyecto**</t>
  </si>
  <si>
    <t>Gasto a proporcionalizar</t>
  </si>
  <si>
    <t>5000*bencina felipe.  Boleta por 26</t>
  </si>
  <si>
    <t>Total</t>
  </si>
  <si>
    <t>Reforma</t>
  </si>
  <si>
    <t>Viaje 26 de octubre 2/3 La reformita- 1/3 Tregualemu. Peaje</t>
  </si>
  <si>
    <t>2600 peaje pedro </t>
  </si>
  <si>
    <t>PLS</t>
  </si>
  <si>
    <t>Viaje 26 de octubre 2/3 La reformita- 1/3 Tregualemu. Almuerzo copec</t>
  </si>
  <si>
    <t>17500 almuerzo copec felipe </t>
  </si>
  <si>
    <t>FHB</t>
  </si>
  <si>
    <t>Viaje 26 de octubre 2/3 La reformita- 1/3 Tregualemu. Comida</t>
  </si>
  <si>
    <t>12800 chelas pedro </t>
  </si>
  <si>
    <t>10000 comida felipe </t>
  </si>
  <si>
    <t>9000 pizza felipe </t>
  </si>
  <si>
    <t>Viaje 26 de octubre 2/3 La reformita- 1/3 Tregualemu. Bus a cauquenes</t>
  </si>
  <si>
    <t>1800 bus a Cauquenes Pedro </t>
  </si>
  <si>
    <t>Viaje 26 de octubre 2/3 La reformita- 1/3 Tregualemu. Bus a talca</t>
  </si>
  <si>
    <t>2600 bus a talca </t>
  </si>
  <si>
    <t>Viaje 26 de octubre 2/3 La reformita- 1/3 Tregualemu. Copec</t>
  </si>
  <si>
    <t>4000 copec pedro</t>
  </si>
  <si>
    <t>600 peaje pedro</t>
  </si>
  <si>
    <t>Viaje 26 de octubre 2/3 La reformita- 1/3 Tregualemu.comida</t>
  </si>
  <si>
    <t>6300 picnic felipe </t>
  </si>
  <si>
    <t xml:space="preserve">Boleta </t>
  </si>
  <si>
    <t>Picnic felipe</t>
  </si>
  <si>
    <t>Viaje 26 de octubre 2/3 La reformita- 1/3 Tregualemu. Almuerzo</t>
  </si>
  <si>
    <t>12400 almuerzo pedro</t>
  </si>
  <si>
    <t>Viaje 26 de octubre 2/3 La reformita- 1/3 Tregualemu. Comision</t>
  </si>
  <si>
    <t>12.000 comisión vale vista*pedro</t>
  </si>
  <si>
    <t>Viaje 26 de octubre 2/3 La reformita- 1/3 Tregualemu. Estacionamiento</t>
  </si>
  <si>
    <t>2.000 estacionamiento  pedro  </t>
  </si>
  <si>
    <t>Viaje 26 de octubre 2/3 La reformita- 1/3 Tregualemu. Fotocopias</t>
  </si>
  <si>
    <t>10.000 pizza felipe </t>
  </si>
  <si>
    <t>Viaje 26 de octubre 2/3 La reformita- 1/3 Tregualemu. comida</t>
  </si>
  <si>
    <t>6.000 cerveza felipe </t>
  </si>
  <si>
    <t>Viaje 26 de octubre 2/3 La reformita- 1/3 Tregualemu. Dominio vigente</t>
  </si>
  <si>
    <t>8000 dominio vigente tregualemu  y plano reformita pedro </t>
  </si>
  <si>
    <t>2280 copec pedro </t>
  </si>
  <si>
    <t>30000Copec felipe </t>
  </si>
  <si>
    <t>2600*peaje pedro </t>
  </si>
  <si>
    <t>20075 almuerzo  Felipe</t>
  </si>
  <si>
    <t>Viaje a cobquecura proyecto La Reformita. Arriendo camioneta</t>
  </si>
  <si>
    <t>Factura</t>
  </si>
  <si>
    <t>Viaje 26 de octubre 2/3 La reformita- 1/3 Tregualemu.Bencina</t>
  </si>
  <si>
    <t>Viaje 26 de octubre 2/3 La reformita- 1/3 Tregualemu. Bencina</t>
  </si>
  <si>
    <t>Tregualemu</t>
  </si>
  <si>
    <t>Ingresos</t>
  </si>
  <si>
    <t>Certificado de ruralidad municipalidad de cobquecura</t>
  </si>
  <si>
    <t>Impresión 8 Copias Planos</t>
  </si>
  <si>
    <t>Envío Planos a San Carlos</t>
  </si>
  <si>
    <t>Factura Electrónica</t>
  </si>
  <si>
    <t>Reembolsado</t>
  </si>
  <si>
    <t>Pago Contribuciones terreno</t>
  </si>
  <si>
    <t>Malla Ovejera alambre para cerco 296.000 Pedro</t>
  </si>
  <si>
    <t>Alambre de puas para cercar 151.000 (90.000 BCI y 61.000 Pedro</t>
  </si>
  <si>
    <t>75% del gasto corresponde a Tregualemu SPA, 25% corresponde a Ecox SpA</t>
  </si>
  <si>
    <t>Viaje a Cobquecura semana 14 al 17 diciembre</t>
  </si>
  <si>
    <t>CaféCopec 3300 BCI</t>
  </si>
  <si>
    <t>Peaje 2600 bci</t>
  </si>
  <si>
    <t>CopecPropina 1000  Felipe</t>
  </si>
  <si>
    <t>Copec 26000 bci</t>
  </si>
  <si>
    <t>Comida  aprox 9000 bci</t>
  </si>
  <si>
    <t>Comida  aprox 8000 bci</t>
  </si>
  <si>
    <t>Comida 32670 BCI</t>
  </si>
  <si>
    <t>Comida 3600 BCI</t>
  </si>
  <si>
    <t xml:space="preserve">Almuerzo </t>
  </si>
  <si>
    <t>Picnic 2000</t>
  </si>
  <si>
    <t>Bencina 27.000 BCI</t>
  </si>
  <si>
    <t>Don Enrique 70.000 BCI</t>
  </si>
  <si>
    <t>Helado 3000 BCI</t>
  </si>
  <si>
    <t>Alojamiento lovel van 200.000 Pendiente!</t>
  </si>
  <si>
    <t>Aprox 50 BCI</t>
  </si>
  <si>
    <t>8250 comida BCI</t>
  </si>
  <si>
    <t>Comida en copec</t>
  </si>
  <si>
    <t>28000 bencina Copec BCI</t>
  </si>
  <si>
    <t>2600 peaje BCI</t>
  </si>
  <si>
    <t>18810 comida BCI</t>
  </si>
  <si>
    <t>Lavado </t>
  </si>
  <si>
    <t>Peaje tag</t>
  </si>
  <si>
    <t>Bencina final </t>
  </si>
  <si>
    <t>Boleta Pendiente</t>
  </si>
  <si>
    <t>Comida pelluhue</t>
  </si>
  <si>
    <t>Reembolso PLS</t>
  </si>
  <si>
    <t>Reembolso a ECOX préstamos</t>
  </si>
  <si>
    <t>Pago II Etapa II. Plano y Subdivisión</t>
  </si>
  <si>
    <t>Pago II Etapa II. Plano y Subdivisión (150.000 honorarios más 12.688 cobro ingreso al SAG)</t>
  </si>
  <si>
    <t>Cuadratura</t>
  </si>
  <si>
    <t>Pago Retroexcavadora Camino don Erick</t>
  </si>
  <si>
    <t>Con préstamo Ecox</t>
  </si>
  <si>
    <t>Adelanto Juan Arias por limpieza terrenos</t>
  </si>
  <si>
    <t>Video Promocional</t>
  </si>
  <si>
    <t>Fotos Promocionales</t>
  </si>
  <si>
    <t>Pago Segunda Etapa SAG</t>
  </si>
  <si>
    <t>Pago contabilidad</t>
  </si>
  <si>
    <t>Saldo Juan Arias por limpieza terrenos</t>
  </si>
  <si>
    <t>Escaneo Plano</t>
  </si>
  <si>
    <t>Pendiente pagar a PLS</t>
  </si>
  <si>
    <t>Pendiente pagar FHB</t>
  </si>
  <si>
    <t>Chileexpress</t>
  </si>
  <si>
    <t>Escritura para servidumbres loteo</t>
  </si>
  <si>
    <t>Pendiente pagar a Ecox</t>
  </si>
  <si>
    <t>Impresión plano servidumbre</t>
  </si>
  <si>
    <t>19/2/2021</t>
  </si>
  <si>
    <t>FALTA REGISTRAR MUCHOS GASTOS EN BASE A BOLETAS EN RESPALDOS</t>
  </si>
  <si>
    <t>Viaje visita terreno ramadillas 2. Comida</t>
  </si>
  <si>
    <t>Viaje visita terreno ramadillas 2. Bencina</t>
  </si>
  <si>
    <t>Viaje visita terreno ramadillas 2. Peaje</t>
  </si>
  <si>
    <t>Viaje visita terreno ramadillas 2. Alojamiento</t>
  </si>
  <si>
    <t>11.10.2021</t>
  </si>
  <si>
    <t>9.10.2021</t>
  </si>
  <si>
    <t>Gasto mandato pc 6 tregualemu</t>
  </si>
  <si>
    <t>20.10.2021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</si>
</sst>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$&quot;* #,##0_ ;_ &quot;$&quot;* \-#,##0_ ;_ &quot;$&quot;* &quot;-&quot;_ ;_ @_ "/>
    <numFmt numFmtId="165" formatCode="_ * #,##0.00_ ;_ * \-#,##0.00_ ;_ * &quot;-&quot;??_ ;_ @_ "/>
    <numFmt numFmtId="166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222222"/>
      <name val="Arial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C6EFCE"/>
        <bgColor rgb="FFFFFFFF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2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166" fontId="0" fillId="0" borderId="0" xfId="1" applyNumberFormat="1" applyFont="1"/>
    <xf numFmtId="14" fontId="0" fillId="0" borderId="0" xfId="0" applyNumberFormat="1"/>
    <xf numFmtId="0" fontId="0" fillId="2" borderId="1" xfId="0" applyFill="1" applyBorder="1"/>
    <xf numFmtId="166" fontId="0" fillId="2" borderId="1" xfId="1" applyNumberFormat="1" applyFont="1" applyFill="1" applyBorder="1"/>
    <xf numFmtId="0" fontId="2" fillId="0" borderId="0" xfId="0" applyFont="1"/>
    <xf numFmtId="0" fontId="0" fillId="3" borderId="0" xfId="0" applyFill="1"/>
    <xf numFmtId="0" fontId="0" fillId="0" borderId="0" xfId="0" applyFill="1"/>
    <xf numFmtId="0" fontId="0" fillId="4" borderId="0" xfId="0" applyFill="1"/>
    <xf numFmtId="166" fontId="0" fillId="0" borderId="0" xfId="0" applyNumberFormat="1"/>
    <xf numFmtId="166" fontId="0" fillId="0" borderId="6" xfId="1" applyNumberFormat="1" applyFont="1" applyBorder="1"/>
    <xf numFmtId="166" fontId="0" fillId="0" borderId="9" xfId="1" applyNumberFormat="1" applyFont="1" applyBorder="1"/>
    <xf numFmtId="166" fontId="0" fillId="0" borderId="2" xfId="1" applyNumberFormat="1" applyFont="1" applyBorder="1"/>
    <xf numFmtId="166" fontId="0" fillId="0" borderId="3" xfId="1" applyNumberFormat="1" applyFont="1" applyBorder="1"/>
    <xf numFmtId="166" fontId="0" fillId="0" borderId="4" xfId="1" applyNumberFormat="1" applyFont="1" applyBorder="1"/>
    <xf numFmtId="166" fontId="0" fillId="0" borderId="5" xfId="1" applyNumberFormat="1" applyFont="1" applyBorder="1"/>
    <xf numFmtId="166" fontId="0" fillId="0" borderId="0" xfId="1" applyNumberFormat="1" applyFont="1" applyBorder="1"/>
    <xf numFmtId="166" fontId="0" fillId="0" borderId="7" xfId="1" applyNumberFormat="1" applyFont="1" applyBorder="1"/>
    <xf numFmtId="166" fontId="0" fillId="0" borderId="8" xfId="1" applyNumberFormat="1" applyFont="1" applyBorder="1"/>
    <xf numFmtId="166" fontId="0" fillId="0" borderId="0" xfId="1" applyNumberFormat="1" applyFont="1" applyFill="1"/>
    <xf numFmtId="14" fontId="0" fillId="0" borderId="0" xfId="0" applyNumberFormat="1" applyFill="1"/>
    <xf numFmtId="164" fontId="0" fillId="0" borderId="0" xfId="0" applyNumberFormat="1"/>
    <xf numFmtId="43" fontId="7" fillId="0" borderId="0" xfId="12" applyNumberFormat="1" applyFont="1" applyFill="1"/>
    <xf numFmtId="0" fontId="7" fillId="0" borderId="0" xfId="0" applyFont="1" applyFill="1"/>
    <xf numFmtId="166" fontId="7" fillId="0" borderId="0" xfId="0" applyNumberFormat="1" applyFont="1" applyFill="1"/>
    <xf numFmtId="166" fontId="8" fillId="0" borderId="0" xfId="1" applyNumberFormat="1" applyFont="1" applyFill="1"/>
    <xf numFmtId="0" fontId="8" fillId="0" borderId="0" xfId="0" applyFont="1" applyFill="1"/>
    <xf numFmtId="0" fontId="7" fillId="0" borderId="10" xfId="0" applyFont="1" applyFill="1" applyBorder="1"/>
    <xf numFmtId="44" fontId="7" fillId="0" borderId="10" xfId="1" applyFont="1" applyFill="1" applyBorder="1"/>
    <xf numFmtId="164" fontId="7" fillId="0" borderId="10" xfId="0" applyNumberFormat="1" applyFont="1" applyFill="1" applyBorder="1"/>
    <xf numFmtId="14" fontId="7" fillId="0" borderId="10" xfId="0" applyNumberFormat="1" applyFont="1" applyFill="1" applyBorder="1"/>
    <xf numFmtId="43" fontId="7" fillId="0" borderId="10" xfId="12" applyNumberFormat="1" applyFont="1" applyFill="1" applyBorder="1"/>
    <xf numFmtId="44" fontId="7" fillId="0" borderId="0" xfId="1" applyFont="1" applyFill="1"/>
    <xf numFmtId="164" fontId="7" fillId="0" borderId="0" xfId="0" applyNumberFormat="1" applyFont="1" applyFill="1"/>
    <xf numFmtId="14" fontId="7" fillId="0" borderId="0" xfId="0" applyNumberFormat="1" applyFont="1" applyFill="1"/>
    <xf numFmtId="166" fontId="7" fillId="0" borderId="0" xfId="1" applyNumberFormat="1" applyFont="1" applyFill="1"/>
    <xf numFmtId="0" fontId="6" fillId="0" borderId="0" xfId="0" applyFont="1" applyFill="1"/>
    <xf numFmtId="0" fontId="9" fillId="6" borderId="0" xfId="13" applyFont="1" applyFill="1" applyAlignment="1">
      <alignment vertical="center" wrapText="1"/>
    </xf>
    <xf numFmtId="0" fontId="7" fillId="0" borderId="0" xfId="0" applyFont="1" applyFill="1" applyBorder="1"/>
    <xf numFmtId="166" fontId="7" fillId="0" borderId="0" xfId="1" applyNumberFormat="1" applyFont="1" applyFill="1" applyBorder="1"/>
    <xf numFmtId="14" fontId="7" fillId="0" borderId="0" xfId="0" applyNumberFormat="1" applyFont="1" applyFill="1" applyBorder="1"/>
    <xf numFmtId="0" fontId="9" fillId="6" borderId="0" xfId="13" applyFont="1" applyFill="1" applyBorder="1"/>
    <xf numFmtId="166" fontId="7" fillId="0" borderId="10" xfId="1" applyNumberFormat="1" applyFont="1" applyFill="1" applyBorder="1"/>
    <xf numFmtId="0" fontId="9" fillId="6" borderId="10" xfId="13" applyFont="1" applyFill="1" applyBorder="1"/>
    <xf numFmtId="0" fontId="10" fillId="0" borderId="0" xfId="16" applyFill="1"/>
    <xf numFmtId="0" fontId="11" fillId="0" borderId="0" xfId="16" applyFont="1" applyFill="1"/>
    <xf numFmtId="0" fontId="6" fillId="0" borderId="0" xfId="0" applyFont="1" applyAlignment="1">
      <alignment vertical="center" wrapText="1"/>
    </xf>
    <xf numFmtId="164" fontId="0" fillId="8" borderId="0" xfId="0" applyNumberFormat="1" applyFill="1"/>
    <xf numFmtId="164" fontId="0" fillId="0" borderId="0" xfId="0" applyNumberFormat="1" applyFill="1"/>
    <xf numFmtId="0" fontId="0" fillId="0" borderId="0" xfId="0" applyFill="1" applyBorder="1"/>
    <xf numFmtId="9" fontId="0" fillId="0" borderId="0" xfId="0" applyNumberFormat="1"/>
    <xf numFmtId="0" fontId="12" fillId="0" borderId="0" xfId="0" applyFont="1" applyFill="1"/>
    <xf numFmtId="0" fontId="12" fillId="0" borderId="0" xfId="0" applyFont="1" applyFill="1" applyAlignment="1">
      <alignment vertical="center" wrapText="1"/>
    </xf>
    <xf numFmtId="0" fontId="0" fillId="8" borderId="0" xfId="0" applyFill="1"/>
    <xf numFmtId="0" fontId="12" fillId="0" borderId="0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4" fontId="0" fillId="8" borderId="0" xfId="0" applyNumberFormat="1" applyFill="1"/>
    <xf numFmtId="166" fontId="0" fillId="3" borderId="0" xfId="1" applyNumberFormat="1" applyFont="1" applyFill="1"/>
  </cellXfs>
  <cellStyles count="23">
    <cellStyle name="Comma" xfId="12" builtinId="3"/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5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Good" xfId="13" builtinId="26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4" builtinId="8" hidden="1"/>
    <cellStyle name="Hyperlink" xfId="17" builtinId="8" hidden="1"/>
    <cellStyle name="Hyperlink" xfId="19" builtinId="8" hidden="1"/>
    <cellStyle name="Hyperlink" xfId="21" builtinId="8" hidden="1"/>
    <cellStyle name="Neutral" xfId="1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2</xdr:row>
      <xdr:rowOff>152399</xdr:rowOff>
    </xdr:from>
    <xdr:to>
      <xdr:col>9</xdr:col>
      <xdr:colOff>9525</xdr:colOff>
      <xdr:row>35</xdr:row>
      <xdr:rowOff>171450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3D1D77B0-AD4D-42B9-A409-923156844424}"/>
            </a:ext>
          </a:extLst>
        </xdr:cNvPr>
        <xdr:cNvSpPr/>
      </xdr:nvSpPr>
      <xdr:spPr>
        <a:xfrm>
          <a:off x="9944100" y="581024"/>
          <a:ext cx="666750" cy="6134101"/>
        </a:xfrm>
        <a:prstGeom prst="rightBrace">
          <a:avLst>
            <a:gd name="adj1" fmla="val 8333"/>
            <a:gd name="adj2" fmla="val 14043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38100</xdr:colOff>
      <xdr:row>38</xdr:row>
      <xdr:rowOff>171450</xdr:rowOff>
    </xdr:from>
    <xdr:to>
      <xdr:col>9</xdr:col>
      <xdr:colOff>76200</xdr:colOff>
      <xdr:row>58</xdr:row>
      <xdr:rowOff>28576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4C893EB0-E1CF-4999-B629-284A40B2D246}"/>
            </a:ext>
          </a:extLst>
        </xdr:cNvPr>
        <xdr:cNvSpPr/>
      </xdr:nvSpPr>
      <xdr:spPr>
        <a:xfrm>
          <a:off x="13592175" y="7477125"/>
          <a:ext cx="628650" cy="3686176"/>
        </a:xfrm>
        <a:prstGeom prst="rightBrace">
          <a:avLst>
            <a:gd name="adj1" fmla="val 8333"/>
            <a:gd name="adj2" fmla="val 14043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7"/>
  <sheetViews>
    <sheetView tabSelected="1" topLeftCell="A190" zoomScale="125" zoomScaleNormal="125" zoomScalePageLayoutView="125" workbookViewId="0">
      <selection activeCell="C208" sqref="C208"/>
    </sheetView>
  </sheetViews>
  <sheetFormatPr defaultColWidth="8.85546875" defaultRowHeight="15" x14ac:dyDescent="0.25"/>
  <cols>
    <col min="1" max="1" width="89.42578125" customWidth="1"/>
    <col min="2" max="3" width="16.28515625" style="1" bestFit="1" customWidth="1"/>
    <col min="4" max="4" width="10.7109375" bestFit="1" customWidth="1"/>
    <col min="5" max="5" width="27" customWidth="1"/>
    <col min="6" max="6" width="18" customWidth="1"/>
    <col min="7" max="7" width="17.28515625" customWidth="1"/>
    <col min="8" max="8" width="27.140625" customWidth="1"/>
    <col min="10" max="10" width="22" customWidth="1"/>
    <col min="11" max="11" width="19" customWidth="1"/>
    <col min="12" max="12" width="13.7109375" bestFit="1" customWidth="1"/>
    <col min="13" max="13" width="18.7109375" bestFit="1" customWidth="1"/>
    <col min="14" max="14" width="10" bestFit="1" customWidth="1"/>
  </cols>
  <sheetData>
    <row r="2" spans="1:14" ht="18.75" x14ac:dyDescent="0.3">
      <c r="A2" s="5" t="s">
        <v>0</v>
      </c>
      <c r="N2" s="9"/>
    </row>
    <row r="4" spans="1:14" ht="15.75" thickBot="1" x14ac:dyDescent="0.3">
      <c r="A4" s="3" t="s">
        <v>4</v>
      </c>
      <c r="B4" s="4" t="s">
        <v>1</v>
      </c>
      <c r="C4" s="4" t="s">
        <v>2</v>
      </c>
      <c r="D4" s="3" t="s">
        <v>3</v>
      </c>
      <c r="E4" s="3" t="s">
        <v>7</v>
      </c>
      <c r="F4" s="3" t="s">
        <v>8</v>
      </c>
    </row>
    <row r="5" spans="1:14" x14ac:dyDescent="0.25">
      <c r="A5" t="s">
        <v>10</v>
      </c>
      <c r="C5" s="1">
        <v>1000</v>
      </c>
      <c r="D5" s="2">
        <v>44071</v>
      </c>
      <c r="F5" t="s">
        <v>9</v>
      </c>
      <c r="K5" s="12"/>
      <c r="L5" s="13" t="s">
        <v>9</v>
      </c>
      <c r="M5" s="14" t="s">
        <v>11</v>
      </c>
    </row>
    <row r="6" spans="1:14" x14ac:dyDescent="0.25">
      <c r="A6" t="s">
        <v>5</v>
      </c>
      <c r="C6" s="1">
        <v>11700</v>
      </c>
      <c r="D6" s="2">
        <v>44074</v>
      </c>
      <c r="E6" t="s">
        <v>6</v>
      </c>
      <c r="F6" t="s">
        <v>9</v>
      </c>
      <c r="K6" s="15" t="s">
        <v>43</v>
      </c>
      <c r="L6" s="16">
        <v>77090</v>
      </c>
      <c r="M6" s="10">
        <v>1113604</v>
      </c>
    </row>
    <row r="7" spans="1:14" x14ac:dyDescent="0.25">
      <c r="A7" t="s">
        <v>12</v>
      </c>
      <c r="C7" s="1">
        <v>22300</v>
      </c>
      <c r="D7" s="2">
        <v>44075</v>
      </c>
      <c r="E7" t="s">
        <v>6</v>
      </c>
      <c r="F7" t="s">
        <v>9</v>
      </c>
      <c r="K7" s="15"/>
      <c r="L7" s="16"/>
      <c r="M7" s="10"/>
    </row>
    <row r="8" spans="1:14" ht="15.75" thickBot="1" x14ac:dyDescent="0.3">
      <c r="A8" t="s">
        <v>13</v>
      </c>
      <c r="C8" s="1">
        <v>12999</v>
      </c>
      <c r="D8" s="2">
        <v>44075</v>
      </c>
      <c r="E8" t="s">
        <v>6</v>
      </c>
      <c r="F8" t="s">
        <v>11</v>
      </c>
      <c r="K8" s="17" t="s">
        <v>42</v>
      </c>
      <c r="L8" s="18">
        <f>L6-L7</f>
        <v>77090</v>
      </c>
      <c r="M8" s="11">
        <f>M6-M7</f>
        <v>1113604</v>
      </c>
    </row>
    <row r="9" spans="1:14" x14ac:dyDescent="0.25">
      <c r="A9" t="s">
        <v>13</v>
      </c>
      <c r="C9" s="1">
        <v>23005</v>
      </c>
      <c r="D9" s="2">
        <v>44077</v>
      </c>
      <c r="E9" t="s">
        <v>6</v>
      </c>
      <c r="F9" t="s">
        <v>11</v>
      </c>
    </row>
    <row r="10" spans="1:14" x14ac:dyDescent="0.25">
      <c r="A10" t="s">
        <v>14</v>
      </c>
      <c r="C10" s="1">
        <v>1100</v>
      </c>
      <c r="D10" s="2">
        <v>44076</v>
      </c>
      <c r="E10" t="s">
        <v>6</v>
      </c>
      <c r="F10" t="s">
        <v>11</v>
      </c>
    </row>
    <row r="11" spans="1:14" x14ac:dyDescent="0.25">
      <c r="A11" t="s">
        <v>15</v>
      </c>
      <c r="C11" s="1">
        <v>9600</v>
      </c>
      <c r="D11" s="2">
        <v>44076</v>
      </c>
      <c r="E11" t="s">
        <v>6</v>
      </c>
      <c r="F11" t="s">
        <v>9</v>
      </c>
    </row>
    <row r="12" spans="1:14" x14ac:dyDescent="0.25">
      <c r="A12" t="s">
        <v>16</v>
      </c>
      <c r="C12" s="1">
        <v>2600</v>
      </c>
      <c r="D12" s="2">
        <v>44076</v>
      </c>
      <c r="E12" t="s">
        <v>6</v>
      </c>
      <c r="F12" t="s">
        <v>9</v>
      </c>
    </row>
    <row r="13" spans="1:14" x14ac:dyDescent="0.25">
      <c r="A13" t="s">
        <v>16</v>
      </c>
      <c r="C13" s="1">
        <v>2600</v>
      </c>
      <c r="D13" s="2">
        <v>44077</v>
      </c>
      <c r="E13" t="s">
        <v>6</v>
      </c>
      <c r="F13" t="s">
        <v>9</v>
      </c>
    </row>
    <row r="14" spans="1:14" x14ac:dyDescent="0.25">
      <c r="A14" t="s">
        <v>17</v>
      </c>
      <c r="C14" s="1">
        <v>16500</v>
      </c>
      <c r="D14" s="2">
        <v>44077</v>
      </c>
      <c r="E14" t="s">
        <v>6</v>
      </c>
      <c r="F14" t="s">
        <v>11</v>
      </c>
    </row>
    <row r="15" spans="1:14" x14ac:dyDescent="0.25">
      <c r="A15" t="s">
        <v>16</v>
      </c>
      <c r="C15" s="1">
        <v>600</v>
      </c>
      <c r="D15" s="2">
        <v>44077</v>
      </c>
      <c r="E15" t="s">
        <v>6</v>
      </c>
      <c r="F15" t="s">
        <v>9</v>
      </c>
    </row>
    <row r="16" spans="1:14" x14ac:dyDescent="0.25">
      <c r="A16" t="s">
        <v>18</v>
      </c>
      <c r="C16" s="1">
        <v>4500</v>
      </c>
      <c r="D16" s="2">
        <v>44076</v>
      </c>
      <c r="E16" t="s">
        <v>26</v>
      </c>
      <c r="F16" t="s">
        <v>9</v>
      </c>
    </row>
    <row r="17" spans="1:9" x14ac:dyDescent="0.25">
      <c r="A17" t="s">
        <v>19</v>
      </c>
      <c r="C17" s="1">
        <v>4000</v>
      </c>
      <c r="D17" s="2">
        <v>44076</v>
      </c>
      <c r="E17" t="s">
        <v>26</v>
      </c>
      <c r="F17" t="s">
        <v>11</v>
      </c>
    </row>
    <row r="18" spans="1:9" x14ac:dyDescent="0.25">
      <c r="A18" t="s">
        <v>20</v>
      </c>
      <c r="C18" s="1">
        <v>13000</v>
      </c>
      <c r="D18" s="2">
        <v>44076</v>
      </c>
      <c r="E18" t="s">
        <v>26</v>
      </c>
      <c r="F18" t="s">
        <v>9</v>
      </c>
    </row>
    <row r="19" spans="1:9" x14ac:dyDescent="0.25">
      <c r="A19" t="s">
        <v>21</v>
      </c>
      <c r="C19" s="1">
        <v>300</v>
      </c>
      <c r="D19" s="2">
        <v>44076</v>
      </c>
      <c r="E19" t="s">
        <v>26</v>
      </c>
      <c r="F19" t="s">
        <v>9</v>
      </c>
    </row>
    <row r="20" spans="1:9" x14ac:dyDescent="0.25">
      <c r="A20" t="s">
        <v>22</v>
      </c>
      <c r="C20" s="1">
        <v>2690</v>
      </c>
      <c r="D20" s="2">
        <v>44076</v>
      </c>
      <c r="E20" t="s">
        <v>26</v>
      </c>
      <c r="F20" t="s">
        <v>9</v>
      </c>
    </row>
    <row r="21" spans="1:9" x14ac:dyDescent="0.25">
      <c r="A21" t="s">
        <v>23</v>
      </c>
      <c r="C21" s="1">
        <v>1200</v>
      </c>
      <c r="D21" s="2">
        <v>44077</v>
      </c>
      <c r="E21" t="s">
        <v>26</v>
      </c>
      <c r="F21" t="s">
        <v>9</v>
      </c>
    </row>
    <row r="22" spans="1:9" x14ac:dyDescent="0.25">
      <c r="A22" t="s">
        <v>24</v>
      </c>
      <c r="C22" s="1">
        <v>16000</v>
      </c>
      <c r="D22" s="2">
        <v>44077</v>
      </c>
      <c r="E22" t="s">
        <v>6</v>
      </c>
      <c r="F22" t="s">
        <v>11</v>
      </c>
    </row>
    <row r="23" spans="1:9" x14ac:dyDescent="0.25">
      <c r="A23" t="s">
        <v>25</v>
      </c>
      <c r="C23" s="1">
        <v>250000</v>
      </c>
      <c r="D23" s="2">
        <v>44074</v>
      </c>
      <c r="E23" s="7" t="s">
        <v>31</v>
      </c>
      <c r="F23" t="s">
        <v>11</v>
      </c>
    </row>
    <row r="24" spans="1:9" x14ac:dyDescent="0.25">
      <c r="A24" t="s">
        <v>27</v>
      </c>
      <c r="C24" s="1">
        <v>150000</v>
      </c>
      <c r="D24" s="2">
        <v>44080</v>
      </c>
      <c r="E24" s="7" t="s">
        <v>6</v>
      </c>
      <c r="F24" t="s">
        <v>11</v>
      </c>
    </row>
    <row r="25" spans="1:9" x14ac:dyDescent="0.25">
      <c r="A25" t="s">
        <v>28</v>
      </c>
      <c r="C25" s="1">
        <v>100000</v>
      </c>
      <c r="D25" s="2">
        <v>44076</v>
      </c>
      <c r="E25" s="7" t="s">
        <v>31</v>
      </c>
      <c r="F25" t="s">
        <v>11</v>
      </c>
    </row>
    <row r="26" spans="1:9" x14ac:dyDescent="0.25">
      <c r="A26" t="s">
        <v>29</v>
      </c>
      <c r="C26" s="1">
        <v>520000</v>
      </c>
      <c r="D26" s="2">
        <v>44077</v>
      </c>
      <c r="E26" s="7" t="s">
        <v>6</v>
      </c>
      <c r="F26" t="s">
        <v>30</v>
      </c>
    </row>
    <row r="27" spans="1:9" x14ac:dyDescent="0.25">
      <c r="A27" t="s">
        <v>32</v>
      </c>
      <c r="C27" s="1">
        <v>12184</v>
      </c>
      <c r="D27" s="2">
        <v>44076</v>
      </c>
      <c r="E27" s="7" t="s">
        <v>6</v>
      </c>
      <c r="F27" t="s">
        <v>30</v>
      </c>
    </row>
    <row r="28" spans="1:9" x14ac:dyDescent="0.25">
      <c r="A28" t="s">
        <v>33</v>
      </c>
      <c r="C28" s="1">
        <v>12184</v>
      </c>
      <c r="D28" s="2">
        <v>44076</v>
      </c>
      <c r="E28" s="7" t="s">
        <v>6</v>
      </c>
      <c r="F28" t="s">
        <v>30</v>
      </c>
    </row>
    <row r="29" spans="1:9" x14ac:dyDescent="0.25">
      <c r="A29" t="s">
        <v>34</v>
      </c>
      <c r="B29" s="1">
        <v>115000000</v>
      </c>
      <c r="D29" s="2"/>
      <c r="E29" s="6" t="s">
        <v>31</v>
      </c>
      <c r="F29" t="s">
        <v>11</v>
      </c>
      <c r="I29" s="8" t="s">
        <v>37</v>
      </c>
    </row>
    <row r="30" spans="1:9" x14ac:dyDescent="0.25">
      <c r="A30" t="s">
        <v>35</v>
      </c>
      <c r="C30" s="1">
        <v>100000000</v>
      </c>
      <c r="D30" s="2"/>
      <c r="E30" s="6" t="s">
        <v>36</v>
      </c>
      <c r="F30" t="s">
        <v>47</v>
      </c>
    </row>
    <row r="31" spans="1:9" x14ac:dyDescent="0.25">
      <c r="A31" t="s">
        <v>38</v>
      </c>
      <c r="C31" s="1">
        <v>10000000</v>
      </c>
      <c r="D31" s="2"/>
      <c r="E31" s="6" t="s">
        <v>39</v>
      </c>
      <c r="F31" t="s">
        <v>47</v>
      </c>
    </row>
    <row r="32" spans="1:9" x14ac:dyDescent="0.25">
      <c r="A32" t="s">
        <v>44</v>
      </c>
      <c r="C32" s="1">
        <v>20000</v>
      </c>
      <c r="D32" s="2">
        <f>D28</f>
        <v>44076</v>
      </c>
      <c r="E32" t="s">
        <v>26</v>
      </c>
      <c r="F32" t="s">
        <v>11</v>
      </c>
    </row>
    <row r="33" spans="1:13" x14ac:dyDescent="0.25">
      <c r="A33" t="s">
        <v>45</v>
      </c>
      <c r="C33" s="19">
        <v>30004</v>
      </c>
      <c r="D33" s="20">
        <v>44084</v>
      </c>
      <c r="E33" s="7" t="s">
        <v>6</v>
      </c>
      <c r="F33" t="s">
        <v>11</v>
      </c>
    </row>
    <row r="34" spans="1:13" x14ac:dyDescent="0.25">
      <c r="A34" t="s">
        <v>46</v>
      </c>
      <c r="C34" s="19">
        <v>6000</v>
      </c>
      <c r="D34" s="20">
        <v>44084</v>
      </c>
      <c r="E34" s="7" t="s">
        <v>6</v>
      </c>
      <c r="F34" t="s">
        <v>11</v>
      </c>
    </row>
    <row r="35" spans="1:13" x14ac:dyDescent="0.25">
      <c r="A35" t="s">
        <v>49</v>
      </c>
      <c r="C35" s="19">
        <v>3000</v>
      </c>
      <c r="D35" s="20">
        <v>44084</v>
      </c>
      <c r="E35" s="7" t="s">
        <v>50</v>
      </c>
      <c r="F35" t="s">
        <v>11</v>
      </c>
    </row>
    <row r="36" spans="1:13" x14ac:dyDescent="0.25">
      <c r="A36" t="s">
        <v>48</v>
      </c>
      <c r="C36" s="1">
        <v>750000</v>
      </c>
      <c r="D36" s="2">
        <v>44081</v>
      </c>
      <c r="E36" s="7" t="s">
        <v>31</v>
      </c>
      <c r="F36" t="s">
        <v>11</v>
      </c>
    </row>
    <row r="37" spans="1:13" x14ac:dyDescent="0.25">
      <c r="A37" s="7" t="s">
        <v>51</v>
      </c>
      <c r="C37" s="19"/>
      <c r="D37" s="20"/>
      <c r="E37" s="7"/>
      <c r="F37" s="19">
        <v>72090</v>
      </c>
    </row>
    <row r="38" spans="1:13" x14ac:dyDescent="0.25">
      <c r="A38" s="7" t="s">
        <v>52</v>
      </c>
      <c r="F38" s="1">
        <v>1902608</v>
      </c>
    </row>
    <row r="39" spans="1:13" ht="15.75" thickBot="1" x14ac:dyDescent="0.3">
      <c r="A39" s="7" t="s">
        <v>53</v>
      </c>
      <c r="F39" s="1">
        <v>24368</v>
      </c>
    </row>
    <row r="40" spans="1:13" x14ac:dyDescent="0.25">
      <c r="A40" s="7" t="s">
        <v>54</v>
      </c>
      <c r="C40" s="1">
        <v>2600</v>
      </c>
      <c r="E40" t="s">
        <v>6</v>
      </c>
      <c r="F40" t="s">
        <v>9</v>
      </c>
      <c r="K40" s="12"/>
      <c r="L40" s="13" t="s">
        <v>9</v>
      </c>
      <c r="M40" s="14" t="s">
        <v>11</v>
      </c>
    </row>
    <row r="41" spans="1:13" x14ac:dyDescent="0.25">
      <c r="A41" s="7" t="s">
        <v>66</v>
      </c>
      <c r="C41" s="1">
        <v>4770</v>
      </c>
      <c r="E41" t="s">
        <v>6</v>
      </c>
      <c r="F41" t="s">
        <v>9</v>
      </c>
      <c r="K41" s="15" t="s">
        <v>43</v>
      </c>
      <c r="L41" s="16">
        <v>218200</v>
      </c>
      <c r="M41" s="10">
        <v>152280</v>
      </c>
    </row>
    <row r="42" spans="1:13" x14ac:dyDescent="0.25">
      <c r="A42" s="7" t="s">
        <v>67</v>
      </c>
      <c r="C42" s="1">
        <v>25000</v>
      </c>
      <c r="E42" t="s">
        <v>55</v>
      </c>
      <c r="F42" t="s">
        <v>9</v>
      </c>
      <c r="K42" s="15"/>
      <c r="L42" s="16"/>
      <c r="M42" s="10"/>
    </row>
    <row r="43" spans="1:13" ht="15.75" thickBot="1" x14ac:dyDescent="0.3">
      <c r="A43" s="7" t="s">
        <v>56</v>
      </c>
      <c r="C43" s="1">
        <v>12000</v>
      </c>
      <c r="E43" t="s">
        <v>55</v>
      </c>
      <c r="F43" t="s">
        <v>9</v>
      </c>
      <c r="K43" s="17" t="s">
        <v>42</v>
      </c>
      <c r="L43" s="18"/>
      <c r="M43" s="11"/>
    </row>
    <row r="44" spans="1:13" x14ac:dyDescent="0.25">
      <c r="A44" s="7" t="s">
        <v>57</v>
      </c>
      <c r="C44" s="1">
        <v>2480</v>
      </c>
      <c r="E44" t="s">
        <v>6</v>
      </c>
      <c r="F44" t="s">
        <v>9</v>
      </c>
    </row>
    <row r="45" spans="1:13" x14ac:dyDescent="0.25">
      <c r="A45" s="7" t="s">
        <v>58</v>
      </c>
      <c r="C45" s="1">
        <v>12500</v>
      </c>
      <c r="E45" t="s">
        <v>6</v>
      </c>
      <c r="F45" t="s">
        <v>9</v>
      </c>
    </row>
    <row r="46" spans="1:13" x14ac:dyDescent="0.25">
      <c r="A46" s="7" t="s">
        <v>59</v>
      </c>
      <c r="C46" s="1">
        <v>6250</v>
      </c>
      <c r="E46" t="s">
        <v>6</v>
      </c>
      <c r="F46" t="s">
        <v>9</v>
      </c>
    </row>
    <row r="47" spans="1:13" x14ac:dyDescent="0.25">
      <c r="A47" s="7" t="s">
        <v>68</v>
      </c>
      <c r="C47" s="1">
        <v>150000</v>
      </c>
      <c r="E47" t="s">
        <v>6</v>
      </c>
      <c r="F47" t="s">
        <v>9</v>
      </c>
    </row>
    <row r="48" spans="1:13" x14ac:dyDescent="0.25">
      <c r="A48" s="7" t="s">
        <v>54</v>
      </c>
      <c r="C48" s="1">
        <v>2600</v>
      </c>
      <c r="E48" t="s">
        <v>6</v>
      </c>
      <c r="F48" t="s">
        <v>9</v>
      </c>
    </row>
    <row r="49" spans="1:6" x14ac:dyDescent="0.25">
      <c r="A49" s="7" t="s">
        <v>60</v>
      </c>
      <c r="C49" s="1">
        <v>15700</v>
      </c>
      <c r="E49" t="s">
        <v>6</v>
      </c>
      <c r="F49" t="s">
        <v>11</v>
      </c>
    </row>
    <row r="50" spans="1:6" x14ac:dyDescent="0.25">
      <c r="A50" s="7" t="s">
        <v>61</v>
      </c>
      <c r="C50" s="1">
        <v>20002</v>
      </c>
      <c r="E50" t="s">
        <v>6</v>
      </c>
      <c r="F50" t="s">
        <v>11</v>
      </c>
    </row>
    <row r="51" spans="1:6" x14ac:dyDescent="0.25">
      <c r="A51" s="7" t="s">
        <v>62</v>
      </c>
      <c r="C51" s="1">
        <v>22170</v>
      </c>
      <c r="E51" t="s">
        <v>6</v>
      </c>
      <c r="F51" t="s">
        <v>11</v>
      </c>
    </row>
    <row r="52" spans="1:6" x14ac:dyDescent="0.25">
      <c r="A52" s="7" t="s">
        <v>69</v>
      </c>
      <c r="C52" s="1">
        <v>5000</v>
      </c>
      <c r="E52" t="s">
        <v>55</v>
      </c>
      <c r="F52" t="s">
        <v>11</v>
      </c>
    </row>
    <row r="53" spans="1:6" x14ac:dyDescent="0.25">
      <c r="A53" s="7" t="s">
        <v>61</v>
      </c>
      <c r="C53" s="1">
        <v>26402</v>
      </c>
      <c r="E53" t="s">
        <v>6</v>
      </c>
      <c r="F53" t="s">
        <v>11</v>
      </c>
    </row>
    <row r="54" spans="1:6" x14ac:dyDescent="0.25">
      <c r="A54" s="7" t="s">
        <v>61</v>
      </c>
      <c r="C54" s="1">
        <v>36006</v>
      </c>
      <c r="E54" t="s">
        <v>6</v>
      </c>
      <c r="F54" t="s">
        <v>11</v>
      </c>
    </row>
    <row r="55" spans="1:6" x14ac:dyDescent="0.25">
      <c r="A55" s="7" t="s">
        <v>64</v>
      </c>
      <c r="C55" s="1">
        <v>6000</v>
      </c>
      <c r="E55" t="s">
        <v>6</v>
      </c>
      <c r="F55" t="s">
        <v>11</v>
      </c>
    </row>
    <row r="56" spans="1:6" x14ac:dyDescent="0.25">
      <c r="A56" s="7" t="s">
        <v>63</v>
      </c>
      <c r="C56" s="1">
        <v>1000</v>
      </c>
      <c r="E56" t="s">
        <v>55</v>
      </c>
      <c r="F56" t="s">
        <v>11</v>
      </c>
    </row>
    <row r="57" spans="1:6" x14ac:dyDescent="0.25">
      <c r="A57" s="7" t="s">
        <v>65</v>
      </c>
      <c r="C57" s="1">
        <v>20000</v>
      </c>
      <c r="E57" t="s">
        <v>55</v>
      </c>
      <c r="F57" t="s">
        <v>11</v>
      </c>
    </row>
    <row r="58" spans="1:6" x14ac:dyDescent="0.25">
      <c r="A58" s="7" t="s">
        <v>51</v>
      </c>
      <c r="C58" s="19"/>
      <c r="D58" s="20">
        <v>44097</v>
      </c>
      <c r="E58" s="7"/>
      <c r="F58" s="19">
        <f>L41</f>
        <v>218200</v>
      </c>
    </row>
    <row r="59" spans="1:6" x14ac:dyDescent="0.25">
      <c r="A59" s="7" t="s">
        <v>52</v>
      </c>
      <c r="D59" s="2">
        <v>44097</v>
      </c>
      <c r="F59" s="1">
        <f>M41</f>
        <v>152280</v>
      </c>
    </row>
    <row r="60" spans="1:6" x14ac:dyDescent="0.25">
      <c r="A60" s="7" t="s">
        <v>70</v>
      </c>
      <c r="C60" s="1">
        <v>74450</v>
      </c>
      <c r="D60" s="2">
        <v>44096</v>
      </c>
      <c r="E60" t="s">
        <v>6</v>
      </c>
      <c r="F60" t="s">
        <v>11</v>
      </c>
    </row>
    <row r="61" spans="1:6" x14ac:dyDescent="0.25">
      <c r="A61" s="7" t="s">
        <v>71</v>
      </c>
      <c r="C61" s="1">
        <v>3550</v>
      </c>
      <c r="D61" s="2">
        <v>44098</v>
      </c>
      <c r="E61" t="s">
        <v>72</v>
      </c>
      <c r="F61" t="s">
        <v>11</v>
      </c>
    </row>
    <row r="62" spans="1:6" x14ac:dyDescent="0.25">
      <c r="A62" s="7"/>
    </row>
    <row r="63" spans="1:6" x14ac:dyDescent="0.25">
      <c r="A63" s="7"/>
    </row>
    <row r="64" spans="1:6" x14ac:dyDescent="0.25">
      <c r="A64" s="7" t="s">
        <v>73</v>
      </c>
    </row>
    <row r="65" spans="1:6" x14ac:dyDescent="0.25">
      <c r="A65" s="7" t="s">
        <v>80</v>
      </c>
      <c r="C65" s="1">
        <v>2880</v>
      </c>
      <c r="E65" t="s">
        <v>6</v>
      </c>
      <c r="F65" t="s">
        <v>9</v>
      </c>
    </row>
    <row r="66" spans="1:6" x14ac:dyDescent="0.25">
      <c r="A66" s="7" t="s">
        <v>78</v>
      </c>
      <c r="C66" s="1">
        <v>17707</v>
      </c>
      <c r="E66" t="s">
        <v>6</v>
      </c>
      <c r="F66" t="s">
        <v>11</v>
      </c>
    </row>
    <row r="67" spans="1:6" x14ac:dyDescent="0.25">
      <c r="A67" s="7" t="s">
        <v>79</v>
      </c>
      <c r="C67" s="1">
        <v>2600</v>
      </c>
      <c r="E67" t="s">
        <v>6</v>
      </c>
      <c r="F67" t="s">
        <v>9</v>
      </c>
    </row>
    <row r="68" spans="1:6" x14ac:dyDescent="0.25">
      <c r="A68" s="7" t="s">
        <v>80</v>
      </c>
      <c r="C68" s="1">
        <v>12400</v>
      </c>
      <c r="E68" t="s">
        <v>6</v>
      </c>
      <c r="F68" t="s">
        <v>11</v>
      </c>
    </row>
    <row r="69" spans="1:6" x14ac:dyDescent="0.25">
      <c r="A69" s="7" t="s">
        <v>80</v>
      </c>
      <c r="C69" s="1">
        <v>2250</v>
      </c>
      <c r="E69" t="s">
        <v>6</v>
      </c>
      <c r="F69" t="s">
        <v>9</v>
      </c>
    </row>
    <row r="70" spans="1:6" x14ac:dyDescent="0.25">
      <c r="A70" s="7" t="s">
        <v>78</v>
      </c>
      <c r="C70" s="1">
        <v>24012</v>
      </c>
      <c r="E70" t="s">
        <v>6</v>
      </c>
      <c r="F70" t="s">
        <v>11</v>
      </c>
    </row>
    <row r="71" spans="1:6" x14ac:dyDescent="0.25">
      <c r="A71" s="7" t="s">
        <v>80</v>
      </c>
      <c r="C71" s="1">
        <v>23270</v>
      </c>
      <c r="E71" t="s">
        <v>6</v>
      </c>
      <c r="F71" t="s">
        <v>11</v>
      </c>
    </row>
    <row r="72" spans="1:6" x14ac:dyDescent="0.25">
      <c r="A72" s="7" t="s">
        <v>88</v>
      </c>
      <c r="C72" s="1">
        <v>1500</v>
      </c>
      <c r="E72" s="1" t="s">
        <v>55</v>
      </c>
      <c r="F72" t="s">
        <v>11</v>
      </c>
    </row>
    <row r="73" spans="1:6" x14ac:dyDescent="0.25">
      <c r="A73" s="7" t="s">
        <v>83</v>
      </c>
      <c r="C73" s="1">
        <v>122000</v>
      </c>
      <c r="E73" t="s">
        <v>6</v>
      </c>
      <c r="F73" t="s">
        <v>82</v>
      </c>
    </row>
    <row r="74" spans="1:6" x14ac:dyDescent="0.25">
      <c r="A74" s="7" t="s">
        <v>87</v>
      </c>
      <c r="C74" s="1">
        <v>33250</v>
      </c>
      <c r="E74" s="1" t="s">
        <v>55</v>
      </c>
      <c r="F74" t="s">
        <v>11</v>
      </c>
    </row>
    <row r="75" spans="1:6" x14ac:dyDescent="0.25">
      <c r="A75" t="s">
        <v>86</v>
      </c>
      <c r="C75" s="1">
        <v>270000</v>
      </c>
      <c r="E75" s="1" t="s">
        <v>90</v>
      </c>
      <c r="F75" t="s">
        <v>11</v>
      </c>
    </row>
    <row r="76" spans="1:6" x14ac:dyDescent="0.25">
      <c r="A76" t="s">
        <v>85</v>
      </c>
      <c r="C76" s="1">
        <v>1000</v>
      </c>
      <c r="E76" s="1" t="s">
        <v>55</v>
      </c>
      <c r="F76" t="s">
        <v>9</v>
      </c>
    </row>
    <row r="77" spans="1:6" x14ac:dyDescent="0.25">
      <c r="A77" t="s">
        <v>85</v>
      </c>
      <c r="C77" s="1">
        <v>2000</v>
      </c>
      <c r="E77" s="1" t="s">
        <v>55</v>
      </c>
      <c r="F77" t="s">
        <v>11</v>
      </c>
    </row>
    <row r="78" spans="1:6" x14ac:dyDescent="0.25">
      <c r="A78" t="s">
        <v>78</v>
      </c>
      <c r="C78" s="1">
        <v>22349</v>
      </c>
      <c r="E78" t="s">
        <v>6</v>
      </c>
      <c r="F78" t="s">
        <v>11</v>
      </c>
    </row>
    <row r="79" spans="1:6" x14ac:dyDescent="0.25">
      <c r="A79" t="s">
        <v>89</v>
      </c>
      <c r="C79" s="1">
        <v>90000</v>
      </c>
      <c r="E79" s="1" t="s">
        <v>55</v>
      </c>
      <c r="F79" t="s">
        <v>11</v>
      </c>
    </row>
    <row r="80" spans="1:6" x14ac:dyDescent="0.25">
      <c r="A80" t="s">
        <v>84</v>
      </c>
      <c r="C80" s="1">
        <v>99055</v>
      </c>
      <c r="E80" t="s">
        <v>6</v>
      </c>
      <c r="F80" t="s">
        <v>11</v>
      </c>
    </row>
    <row r="81" spans="1:6" x14ac:dyDescent="0.25">
      <c r="A81" t="s">
        <v>84</v>
      </c>
      <c r="C81" s="1">
        <v>150000</v>
      </c>
      <c r="E81" t="s">
        <v>93</v>
      </c>
      <c r="F81" t="s">
        <v>9</v>
      </c>
    </row>
    <row r="82" spans="1:6" x14ac:dyDescent="0.25">
      <c r="A82" t="s">
        <v>79</v>
      </c>
      <c r="C82" s="1">
        <v>2600</v>
      </c>
      <c r="E82" t="s">
        <v>6</v>
      </c>
      <c r="F82" t="s">
        <v>11</v>
      </c>
    </row>
    <row r="83" spans="1:6" x14ac:dyDescent="0.25">
      <c r="A83" t="s">
        <v>81</v>
      </c>
      <c r="C83" s="1">
        <v>20650</v>
      </c>
      <c r="E83" t="s">
        <v>6</v>
      </c>
      <c r="F83" t="s">
        <v>9</v>
      </c>
    </row>
    <row r="84" spans="1:6" x14ac:dyDescent="0.25">
      <c r="A84" t="s">
        <v>74</v>
      </c>
      <c r="C84" s="1">
        <v>32001</v>
      </c>
      <c r="E84" t="s">
        <v>6</v>
      </c>
      <c r="F84" t="s">
        <v>11</v>
      </c>
    </row>
    <row r="85" spans="1:6" x14ac:dyDescent="0.25">
      <c r="A85" s="7" t="s">
        <v>91</v>
      </c>
      <c r="C85" s="1">
        <v>20000</v>
      </c>
      <c r="E85" t="s">
        <v>77</v>
      </c>
      <c r="F85" t="s">
        <v>11</v>
      </c>
    </row>
    <row r="86" spans="1:6" x14ac:dyDescent="0.25">
      <c r="A86" t="s">
        <v>75</v>
      </c>
      <c r="C86" s="1">
        <v>6000</v>
      </c>
      <c r="E86" t="s">
        <v>6</v>
      </c>
      <c r="F86" t="s">
        <v>11</v>
      </c>
    </row>
    <row r="87" spans="1:6" x14ac:dyDescent="0.25">
      <c r="A87" t="s">
        <v>92</v>
      </c>
      <c r="C87" s="1">
        <v>1000</v>
      </c>
      <c r="E87" t="s">
        <v>55</v>
      </c>
      <c r="F87" t="s">
        <v>11</v>
      </c>
    </row>
    <row r="88" spans="1:6" x14ac:dyDescent="0.25">
      <c r="A88" t="s">
        <v>76</v>
      </c>
      <c r="C88" s="1">
        <v>2000</v>
      </c>
      <c r="E88" t="s">
        <v>77</v>
      </c>
      <c r="F88" t="s">
        <v>11</v>
      </c>
    </row>
    <row r="89" spans="1:6" x14ac:dyDescent="0.25">
      <c r="A89" s="7" t="s">
        <v>51</v>
      </c>
      <c r="D89" s="2">
        <v>44113</v>
      </c>
      <c r="F89" s="21">
        <v>270380</v>
      </c>
    </row>
    <row r="90" spans="1:6" x14ac:dyDescent="0.25">
      <c r="A90" s="7" t="s">
        <v>52</v>
      </c>
      <c r="D90" s="2">
        <v>44113</v>
      </c>
      <c r="F90" s="21">
        <v>690144</v>
      </c>
    </row>
    <row r="91" spans="1:6" x14ac:dyDescent="0.25">
      <c r="A91" s="7" t="s">
        <v>94</v>
      </c>
      <c r="C91" s="1">
        <v>28715</v>
      </c>
      <c r="D91" s="2">
        <v>44117</v>
      </c>
      <c r="E91" t="s">
        <v>95</v>
      </c>
      <c r="F91" t="s">
        <v>11</v>
      </c>
    </row>
    <row r="93" spans="1:6" x14ac:dyDescent="0.25">
      <c r="A93" t="s">
        <v>96</v>
      </c>
      <c r="C93" s="1">
        <v>1000000</v>
      </c>
      <c r="D93" s="2">
        <v>44117</v>
      </c>
      <c r="E93" t="s">
        <v>31</v>
      </c>
    </row>
    <row r="94" spans="1:6" x14ac:dyDescent="0.25">
      <c r="A94" t="s">
        <v>97</v>
      </c>
      <c r="C94" s="1">
        <v>250000</v>
      </c>
      <c r="D94" s="2">
        <v>44118</v>
      </c>
      <c r="E94" t="s">
        <v>31</v>
      </c>
    </row>
    <row r="95" spans="1:6" x14ac:dyDescent="0.25">
      <c r="A95" t="s">
        <v>98</v>
      </c>
      <c r="C95" s="1">
        <v>670000</v>
      </c>
      <c r="D95" s="2">
        <v>44119</v>
      </c>
      <c r="E95" t="s">
        <v>31</v>
      </c>
    </row>
    <row r="96" spans="1:6" x14ac:dyDescent="0.25">
      <c r="A96" t="s">
        <v>99</v>
      </c>
      <c r="B96" s="1">
        <v>5000000</v>
      </c>
      <c r="E96" t="s">
        <v>31</v>
      </c>
    </row>
    <row r="97" spans="1:12" x14ac:dyDescent="0.25">
      <c r="A97" t="s">
        <v>100</v>
      </c>
      <c r="C97" s="1">
        <v>500000</v>
      </c>
    </row>
    <row r="99" spans="1:12" x14ac:dyDescent="0.25">
      <c r="A99" s="23"/>
      <c r="B99" s="25" t="s">
        <v>149</v>
      </c>
      <c r="C99" s="26" t="s">
        <v>101</v>
      </c>
      <c r="D99" s="26" t="s">
        <v>3</v>
      </c>
      <c r="E99" s="23" t="s">
        <v>7</v>
      </c>
      <c r="F99" s="23"/>
      <c r="G99" s="23"/>
      <c r="H99" s="23"/>
      <c r="I99" s="23"/>
      <c r="J99" s="23"/>
      <c r="K99" s="23"/>
      <c r="L99" s="23"/>
    </row>
    <row r="100" spans="1:12" ht="15.75" thickBot="1" x14ac:dyDescent="0.3">
      <c r="A100" s="27" t="s">
        <v>102</v>
      </c>
      <c r="B100" s="28"/>
      <c r="C100" s="29"/>
      <c r="D100" s="30"/>
      <c r="E100" s="27"/>
      <c r="F100" s="27"/>
      <c r="G100" s="31">
        <f>1/3</f>
        <v>0.33333333333333331</v>
      </c>
      <c r="H100" s="27"/>
      <c r="I100" s="23"/>
      <c r="J100" s="23" t="s">
        <v>103</v>
      </c>
      <c r="K100" s="22">
        <f>2/3</f>
        <v>0.66666666666666663</v>
      </c>
      <c r="L100" s="22">
        <f>1/3</f>
        <v>0.33333333333333331</v>
      </c>
    </row>
    <row r="101" spans="1:12" ht="16.5" thickTop="1" x14ac:dyDescent="0.25">
      <c r="A101" s="23"/>
      <c r="B101" s="32"/>
      <c r="C101" s="33">
        <f>$G$100*G101</f>
        <v>1666.6666666666665</v>
      </c>
      <c r="D101" s="34"/>
      <c r="E101" s="23"/>
      <c r="F101" s="23" t="s">
        <v>11</v>
      </c>
      <c r="G101" s="35">
        <v>5000</v>
      </c>
      <c r="H101" s="36" t="s">
        <v>104</v>
      </c>
      <c r="I101" s="23"/>
      <c r="J101" s="23" t="s">
        <v>105</v>
      </c>
      <c r="K101" s="23" t="s">
        <v>106</v>
      </c>
      <c r="L101" s="23" t="s">
        <v>148</v>
      </c>
    </row>
    <row r="102" spans="1:12" x14ac:dyDescent="0.25">
      <c r="A102" s="23" t="s">
        <v>107</v>
      </c>
      <c r="B102" s="32"/>
      <c r="C102" s="33">
        <f>$G$100*G102</f>
        <v>866.66666666666663</v>
      </c>
      <c r="D102" s="34"/>
      <c r="E102" s="23" t="s">
        <v>6</v>
      </c>
      <c r="F102" s="23" t="s">
        <v>9</v>
      </c>
      <c r="G102" s="35">
        <v>2600</v>
      </c>
      <c r="H102" s="37" t="s">
        <v>108</v>
      </c>
      <c r="I102" s="23" t="s">
        <v>109</v>
      </c>
      <c r="J102" s="24">
        <f>G102+G104+G107+G108+G109+G110+G113+G114+G115+G117+G116+G121+G122+G124+G126</f>
        <v>297636</v>
      </c>
      <c r="K102" s="24">
        <f>J102*$K$100</f>
        <v>198424</v>
      </c>
      <c r="L102" s="24">
        <f>J102*$L$100</f>
        <v>99212</v>
      </c>
    </row>
    <row r="103" spans="1:12" x14ac:dyDescent="0.25">
      <c r="A103" s="23" t="s">
        <v>110</v>
      </c>
      <c r="B103" s="32"/>
      <c r="C103" s="33">
        <f t="shared" ref="C103:C128" si="0">$G$100*G103</f>
        <v>5833.333333333333</v>
      </c>
      <c r="D103" s="34"/>
      <c r="E103" s="23" t="s">
        <v>6</v>
      </c>
      <c r="F103" s="23" t="s">
        <v>11</v>
      </c>
      <c r="G103" s="35">
        <v>17500</v>
      </c>
      <c r="H103" s="37" t="s">
        <v>111</v>
      </c>
      <c r="I103" s="23" t="s">
        <v>112</v>
      </c>
      <c r="J103" s="24">
        <f>G103+G105+G106+G111+G112+G118+G119+G123+G125+G128+G101+G127</f>
        <v>153835</v>
      </c>
      <c r="K103" s="24">
        <f>J103*$K$100</f>
        <v>102556.66666666666</v>
      </c>
      <c r="L103" s="24">
        <f>J103*$L$100</f>
        <v>51278.333333333328</v>
      </c>
    </row>
    <row r="104" spans="1:12" x14ac:dyDescent="0.25">
      <c r="A104" s="23" t="s">
        <v>113</v>
      </c>
      <c r="B104" s="32"/>
      <c r="C104" s="33">
        <f t="shared" si="0"/>
        <v>4266.6666666666661</v>
      </c>
      <c r="D104" s="34"/>
      <c r="E104" s="23" t="s">
        <v>6</v>
      </c>
      <c r="F104" s="23" t="s">
        <v>9</v>
      </c>
      <c r="G104" s="35">
        <v>12800</v>
      </c>
      <c r="H104" s="37" t="s">
        <v>114</v>
      </c>
      <c r="I104" s="23"/>
      <c r="J104" s="23"/>
      <c r="K104" s="23"/>
      <c r="L104" s="23"/>
    </row>
    <row r="105" spans="1:12" x14ac:dyDescent="0.25">
      <c r="A105" s="23" t="s">
        <v>113</v>
      </c>
      <c r="B105" s="32"/>
      <c r="C105" s="33">
        <f t="shared" si="0"/>
        <v>3333.333333333333</v>
      </c>
      <c r="D105" s="34"/>
      <c r="E105" s="23"/>
      <c r="F105" s="23" t="s">
        <v>11</v>
      </c>
      <c r="G105" s="35">
        <v>10000</v>
      </c>
      <c r="H105" s="37" t="s">
        <v>115</v>
      </c>
      <c r="I105" s="23"/>
      <c r="J105" s="23"/>
      <c r="K105" s="23"/>
      <c r="L105" s="23"/>
    </row>
    <row r="106" spans="1:12" x14ac:dyDescent="0.25">
      <c r="A106" s="23" t="s">
        <v>113</v>
      </c>
      <c r="B106" s="32"/>
      <c r="C106" s="33">
        <f t="shared" si="0"/>
        <v>3000</v>
      </c>
      <c r="D106" s="34"/>
      <c r="E106" s="23"/>
      <c r="F106" s="23" t="s">
        <v>11</v>
      </c>
      <c r="G106" s="35">
        <v>9000</v>
      </c>
      <c r="H106" s="37" t="s">
        <v>116</v>
      </c>
      <c r="I106" s="23"/>
      <c r="J106" s="23"/>
      <c r="K106" s="23"/>
      <c r="L106" s="23"/>
    </row>
    <row r="107" spans="1:12" x14ac:dyDescent="0.25">
      <c r="A107" s="23" t="s">
        <v>117</v>
      </c>
      <c r="B107" s="32"/>
      <c r="C107" s="33">
        <f t="shared" si="0"/>
        <v>600</v>
      </c>
      <c r="D107" s="34"/>
      <c r="E107" s="23" t="s">
        <v>6</v>
      </c>
      <c r="F107" s="23" t="s">
        <v>9</v>
      </c>
      <c r="G107" s="35">
        <v>1800</v>
      </c>
      <c r="H107" s="37" t="s">
        <v>118</v>
      </c>
      <c r="I107" s="23"/>
      <c r="J107" s="23"/>
      <c r="K107" s="23"/>
      <c r="L107" s="23"/>
    </row>
    <row r="108" spans="1:12" x14ac:dyDescent="0.25">
      <c r="A108" s="23" t="s">
        <v>119</v>
      </c>
      <c r="B108" s="32"/>
      <c r="C108" s="33">
        <f t="shared" si="0"/>
        <v>866.66666666666663</v>
      </c>
      <c r="D108" s="34"/>
      <c r="E108" s="23" t="s">
        <v>6</v>
      </c>
      <c r="F108" s="23" t="s">
        <v>9</v>
      </c>
      <c r="G108" s="35">
        <v>2600</v>
      </c>
      <c r="H108" s="37" t="s">
        <v>120</v>
      </c>
      <c r="I108" s="23"/>
      <c r="J108" s="23"/>
      <c r="K108" s="23"/>
      <c r="L108" s="23"/>
    </row>
    <row r="109" spans="1:12" x14ac:dyDescent="0.25">
      <c r="A109" s="23" t="s">
        <v>121</v>
      </c>
      <c r="B109" s="32"/>
      <c r="C109" s="33">
        <f t="shared" si="0"/>
        <v>1333.3333333333333</v>
      </c>
      <c r="D109" s="34"/>
      <c r="E109" s="23" t="s">
        <v>6</v>
      </c>
      <c r="F109" s="23" t="s">
        <v>9</v>
      </c>
      <c r="G109" s="35">
        <v>4000</v>
      </c>
      <c r="H109" s="37" t="s">
        <v>122</v>
      </c>
      <c r="I109" s="23"/>
      <c r="J109" s="23"/>
      <c r="K109" s="23"/>
      <c r="L109" s="23"/>
    </row>
    <row r="110" spans="1:12" x14ac:dyDescent="0.25">
      <c r="A110" s="23" t="s">
        <v>107</v>
      </c>
      <c r="B110" s="32"/>
      <c r="C110" s="33">
        <f t="shared" si="0"/>
        <v>200</v>
      </c>
      <c r="D110" s="34"/>
      <c r="E110" s="23" t="s">
        <v>6</v>
      </c>
      <c r="F110" s="23" t="s">
        <v>9</v>
      </c>
      <c r="G110" s="35">
        <v>600</v>
      </c>
      <c r="H110" s="37" t="s">
        <v>123</v>
      </c>
      <c r="I110" s="23"/>
      <c r="J110" s="23"/>
      <c r="K110" s="23"/>
      <c r="L110" s="23"/>
    </row>
    <row r="111" spans="1:12" x14ac:dyDescent="0.25">
      <c r="A111" s="23" t="s">
        <v>124</v>
      </c>
      <c r="B111" s="32"/>
      <c r="C111" s="33">
        <f t="shared" si="0"/>
        <v>2100</v>
      </c>
      <c r="D111" s="34"/>
      <c r="E111" s="23" t="s">
        <v>6</v>
      </c>
      <c r="F111" s="23" t="s">
        <v>11</v>
      </c>
      <c r="G111" s="35">
        <v>6300</v>
      </c>
      <c r="H111" s="37" t="s">
        <v>125</v>
      </c>
      <c r="I111" s="23"/>
      <c r="J111" s="23"/>
      <c r="K111" s="23"/>
      <c r="L111" s="23"/>
    </row>
    <row r="112" spans="1:12" x14ac:dyDescent="0.25">
      <c r="A112" s="23" t="s">
        <v>124</v>
      </c>
      <c r="B112" s="32"/>
      <c r="C112" s="33">
        <f t="shared" si="0"/>
        <v>786.66666666666663</v>
      </c>
      <c r="D112" s="34"/>
      <c r="E112" s="23" t="s">
        <v>126</v>
      </c>
      <c r="F112" s="23" t="s">
        <v>11</v>
      </c>
      <c r="G112" s="35">
        <v>2360</v>
      </c>
      <c r="H112" s="37" t="s">
        <v>127</v>
      </c>
      <c r="I112" s="23"/>
      <c r="J112" s="23"/>
      <c r="K112" s="23"/>
      <c r="L112" s="23"/>
    </row>
    <row r="113" spans="1:12" x14ac:dyDescent="0.25">
      <c r="A113" s="23" t="s">
        <v>128</v>
      </c>
      <c r="B113" s="32"/>
      <c r="C113" s="33">
        <f t="shared" si="0"/>
        <v>4133.333333333333</v>
      </c>
      <c r="D113" s="34"/>
      <c r="E113" s="23" t="s">
        <v>6</v>
      </c>
      <c r="F113" s="23" t="s">
        <v>9</v>
      </c>
      <c r="G113" s="35">
        <v>12400</v>
      </c>
      <c r="H113" s="37" t="s">
        <v>129</v>
      </c>
      <c r="I113" s="23"/>
      <c r="J113" s="23"/>
      <c r="K113" s="23"/>
      <c r="L113" s="23"/>
    </row>
    <row r="114" spans="1:12" ht="30" x14ac:dyDescent="0.25">
      <c r="A114" s="23" t="s">
        <v>130</v>
      </c>
      <c r="B114" s="32"/>
      <c r="C114" s="33">
        <f t="shared" si="0"/>
        <v>4082</v>
      </c>
      <c r="D114" s="34"/>
      <c r="E114" s="23"/>
      <c r="F114" s="23" t="s">
        <v>9</v>
      </c>
      <c r="G114" s="35">
        <v>12246</v>
      </c>
      <c r="H114" s="37" t="s">
        <v>131</v>
      </c>
      <c r="I114" s="23"/>
      <c r="J114" s="23"/>
      <c r="K114" s="23"/>
      <c r="L114" s="23"/>
    </row>
    <row r="115" spans="1:12" ht="30" x14ac:dyDescent="0.25">
      <c r="A115" s="23" t="s">
        <v>132</v>
      </c>
      <c r="B115" s="32"/>
      <c r="C115" s="33">
        <f t="shared" si="0"/>
        <v>666.66666666666663</v>
      </c>
      <c r="D115" s="34"/>
      <c r="E115" s="23" t="s">
        <v>6</v>
      </c>
      <c r="F115" s="23" t="s">
        <v>9</v>
      </c>
      <c r="G115" s="35">
        <v>2000</v>
      </c>
      <c r="H115" s="37" t="s">
        <v>133</v>
      </c>
      <c r="I115" s="23"/>
      <c r="J115" s="23"/>
      <c r="K115" s="23"/>
      <c r="L115" s="23"/>
    </row>
    <row r="116" spans="1:12" x14ac:dyDescent="0.25">
      <c r="A116" s="23" t="s">
        <v>113</v>
      </c>
      <c r="B116" s="32"/>
      <c r="C116" s="33">
        <f t="shared" si="0"/>
        <v>100</v>
      </c>
      <c r="D116" s="34"/>
      <c r="E116" s="23" t="s">
        <v>6</v>
      </c>
      <c r="F116" s="23" t="s">
        <v>9</v>
      </c>
      <c r="G116" s="35">
        <v>300</v>
      </c>
      <c r="H116" s="37"/>
      <c r="I116" s="23"/>
      <c r="J116" s="23"/>
      <c r="K116" s="23"/>
      <c r="L116" s="23"/>
    </row>
    <row r="117" spans="1:12" x14ac:dyDescent="0.25">
      <c r="A117" s="23" t="s">
        <v>134</v>
      </c>
      <c r="B117" s="32"/>
      <c r="C117" s="33">
        <f t="shared" si="0"/>
        <v>433.33333333333331</v>
      </c>
      <c r="D117" s="34"/>
      <c r="E117" s="23" t="s">
        <v>6</v>
      </c>
      <c r="F117" s="23" t="s">
        <v>9</v>
      </c>
      <c r="G117" s="35">
        <v>1300</v>
      </c>
      <c r="H117" s="37"/>
      <c r="I117" s="23"/>
      <c r="J117" s="23"/>
      <c r="K117" s="23"/>
      <c r="L117" s="23"/>
    </row>
    <row r="118" spans="1:12" x14ac:dyDescent="0.25">
      <c r="A118" s="23" t="s">
        <v>113</v>
      </c>
      <c r="B118" s="32"/>
      <c r="C118" s="33">
        <f t="shared" si="0"/>
        <v>3333.333333333333</v>
      </c>
      <c r="D118" s="34"/>
      <c r="E118" s="23" t="s">
        <v>55</v>
      </c>
      <c r="F118" s="23" t="s">
        <v>11</v>
      </c>
      <c r="G118" s="35">
        <v>10000</v>
      </c>
      <c r="H118" s="37" t="s">
        <v>135</v>
      </c>
      <c r="I118" s="23"/>
      <c r="J118" s="23"/>
      <c r="K118" s="23"/>
      <c r="L118" s="23"/>
    </row>
    <row r="119" spans="1:12" x14ac:dyDescent="0.25">
      <c r="A119" s="23" t="s">
        <v>136</v>
      </c>
      <c r="B119" s="32"/>
      <c r="C119" s="33">
        <f t="shared" si="0"/>
        <v>2000</v>
      </c>
      <c r="D119" s="34"/>
      <c r="E119" s="23" t="s">
        <v>55</v>
      </c>
      <c r="F119" s="23" t="s">
        <v>11</v>
      </c>
      <c r="G119" s="35">
        <v>6000</v>
      </c>
      <c r="H119" s="37" t="s">
        <v>137</v>
      </c>
      <c r="I119" s="23"/>
      <c r="J119" s="23"/>
      <c r="K119" s="23"/>
      <c r="L119" s="23"/>
    </row>
    <row r="120" spans="1:12" x14ac:dyDescent="0.25">
      <c r="A120" s="23"/>
      <c r="B120" s="35"/>
      <c r="C120" s="33">
        <f t="shared" si="0"/>
        <v>0</v>
      </c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 ht="45" x14ac:dyDescent="0.25">
      <c r="A121" s="23" t="s">
        <v>138</v>
      </c>
      <c r="B121" s="32"/>
      <c r="C121" s="33">
        <f t="shared" si="0"/>
        <v>2666.6666666666665</v>
      </c>
      <c r="D121" s="34"/>
      <c r="E121" s="23" t="s">
        <v>6</v>
      </c>
      <c r="F121" s="23" t="s">
        <v>9</v>
      </c>
      <c r="G121" s="35">
        <v>8000</v>
      </c>
      <c r="H121" s="37" t="s">
        <v>139</v>
      </c>
      <c r="I121" s="23"/>
      <c r="J121" s="23"/>
      <c r="K121" s="23"/>
      <c r="L121" s="23"/>
    </row>
    <row r="122" spans="1:12" x14ac:dyDescent="0.25">
      <c r="A122" s="23" t="s">
        <v>121</v>
      </c>
      <c r="B122" s="32"/>
      <c r="C122" s="33">
        <f t="shared" si="0"/>
        <v>760</v>
      </c>
      <c r="D122" s="34"/>
      <c r="E122" s="23" t="s">
        <v>6</v>
      </c>
      <c r="F122" s="23" t="s">
        <v>9</v>
      </c>
      <c r="G122" s="35">
        <v>2280</v>
      </c>
      <c r="H122" s="37" t="s">
        <v>140</v>
      </c>
      <c r="I122" s="23"/>
      <c r="J122" s="23"/>
      <c r="K122" s="23"/>
      <c r="L122" s="23"/>
    </row>
    <row r="123" spans="1:12" x14ac:dyDescent="0.25">
      <c r="A123" s="23" t="s">
        <v>121</v>
      </c>
      <c r="B123" s="32"/>
      <c r="C123" s="33">
        <f t="shared" si="0"/>
        <v>10000</v>
      </c>
      <c r="D123" s="34"/>
      <c r="E123" s="23" t="s">
        <v>6</v>
      </c>
      <c r="F123" s="23" t="s">
        <v>11</v>
      </c>
      <c r="G123" s="35">
        <v>30000</v>
      </c>
      <c r="H123" s="37" t="s">
        <v>141</v>
      </c>
      <c r="I123" s="23"/>
      <c r="J123" s="23"/>
      <c r="K123" s="23"/>
      <c r="L123" s="23"/>
    </row>
    <row r="124" spans="1:12" x14ac:dyDescent="0.25">
      <c r="A124" s="23" t="s">
        <v>107</v>
      </c>
      <c r="B124" s="32"/>
      <c r="C124" s="33">
        <f t="shared" si="0"/>
        <v>866.66666666666663</v>
      </c>
      <c r="D124" s="34"/>
      <c r="E124" s="23" t="s">
        <v>6</v>
      </c>
      <c r="F124" s="23" t="s">
        <v>9</v>
      </c>
      <c r="G124" s="35">
        <v>2600</v>
      </c>
      <c r="H124" s="37" t="s">
        <v>142</v>
      </c>
      <c r="I124" s="23"/>
      <c r="J124" s="23"/>
      <c r="K124" s="23"/>
      <c r="L124" s="23"/>
    </row>
    <row r="125" spans="1:12" x14ac:dyDescent="0.25">
      <c r="A125" s="23" t="s">
        <v>113</v>
      </c>
      <c r="B125" s="32"/>
      <c r="C125" s="33">
        <f t="shared" si="0"/>
        <v>6691.6666666666661</v>
      </c>
      <c r="D125" s="34"/>
      <c r="E125" s="23" t="s">
        <v>6</v>
      </c>
      <c r="F125" s="23" t="s">
        <v>11</v>
      </c>
      <c r="G125" s="35">
        <v>20075</v>
      </c>
      <c r="H125" s="37" t="s">
        <v>143</v>
      </c>
      <c r="I125" s="23"/>
      <c r="J125" s="23"/>
      <c r="K125" s="23"/>
      <c r="L125" s="23"/>
    </row>
    <row r="126" spans="1:12" x14ac:dyDescent="0.25">
      <c r="A126" s="38" t="s">
        <v>144</v>
      </c>
      <c r="B126" s="39"/>
      <c r="C126" s="33">
        <f t="shared" si="0"/>
        <v>77370</v>
      </c>
      <c r="D126" s="40"/>
      <c r="E126" s="38" t="s">
        <v>145</v>
      </c>
      <c r="F126" s="38" t="s">
        <v>9</v>
      </c>
      <c r="G126" s="39">
        <v>232110</v>
      </c>
      <c r="H126" s="41"/>
      <c r="I126" s="23"/>
      <c r="J126" s="23"/>
      <c r="K126" s="23"/>
      <c r="L126" s="23"/>
    </row>
    <row r="127" spans="1:12" x14ac:dyDescent="0.25">
      <c r="A127" s="23" t="s">
        <v>146</v>
      </c>
      <c r="B127" s="39"/>
      <c r="C127" s="33">
        <f t="shared" si="0"/>
        <v>3534</v>
      </c>
      <c r="D127" s="40"/>
      <c r="E127" s="38" t="s">
        <v>6</v>
      </c>
      <c r="F127" s="38" t="s">
        <v>11</v>
      </c>
      <c r="G127" s="39">
        <v>10602</v>
      </c>
      <c r="H127" s="41"/>
      <c r="I127" s="23"/>
      <c r="J127" s="23"/>
      <c r="K127" s="23"/>
      <c r="L127" s="23"/>
    </row>
    <row r="128" spans="1:12" ht="15.75" thickBot="1" x14ac:dyDescent="0.3">
      <c r="A128" s="27" t="s">
        <v>147</v>
      </c>
      <c r="B128" s="28"/>
      <c r="C128" s="29">
        <f t="shared" si="0"/>
        <v>8999.3333333333321</v>
      </c>
      <c r="D128" s="30"/>
      <c r="E128" s="27" t="s">
        <v>6</v>
      </c>
      <c r="F128" s="27" t="s">
        <v>11</v>
      </c>
      <c r="G128" s="42">
        <v>26998</v>
      </c>
      <c r="H128" s="43"/>
      <c r="I128" s="23"/>
      <c r="J128" s="23"/>
      <c r="K128" s="23"/>
      <c r="L128" s="23"/>
    </row>
    <row r="129" spans="1:9" ht="15.75" thickTop="1" x14ac:dyDescent="0.25">
      <c r="A129" s="7" t="s">
        <v>51</v>
      </c>
      <c r="D129" s="2">
        <v>44137</v>
      </c>
      <c r="F129" s="21">
        <v>99212</v>
      </c>
    </row>
    <row r="130" spans="1:9" x14ac:dyDescent="0.25">
      <c r="A130" s="7" t="s">
        <v>52</v>
      </c>
      <c r="D130" s="2">
        <v>44137</v>
      </c>
      <c r="F130" s="21">
        <v>51278</v>
      </c>
    </row>
    <row r="132" spans="1:9" x14ac:dyDescent="0.25">
      <c r="A132" t="s">
        <v>150</v>
      </c>
      <c r="C132" s="1">
        <v>1000</v>
      </c>
      <c r="D132" s="2">
        <v>44141</v>
      </c>
      <c r="E132" t="s">
        <v>31</v>
      </c>
      <c r="F132" t="s">
        <v>9</v>
      </c>
      <c r="G132" s="45" t="s">
        <v>154</v>
      </c>
    </row>
    <row r="133" spans="1:9" x14ac:dyDescent="0.25">
      <c r="A133" t="s">
        <v>151</v>
      </c>
      <c r="C133" s="1">
        <v>27578</v>
      </c>
      <c r="D133" s="2">
        <v>44158</v>
      </c>
      <c r="E133" t="s">
        <v>153</v>
      </c>
      <c r="F133" t="s">
        <v>11</v>
      </c>
      <c r="G133" s="45" t="s">
        <v>154</v>
      </c>
    </row>
    <row r="134" spans="1:9" x14ac:dyDescent="0.25">
      <c r="A134" t="s">
        <v>152</v>
      </c>
      <c r="C134" s="1">
        <v>5434</v>
      </c>
      <c r="D134" s="2">
        <v>44158</v>
      </c>
      <c r="E134" t="s">
        <v>6</v>
      </c>
      <c r="F134" t="s">
        <v>11</v>
      </c>
      <c r="G134" s="45" t="s">
        <v>154</v>
      </c>
    </row>
    <row r="135" spans="1:9" x14ac:dyDescent="0.25">
      <c r="A135" t="s">
        <v>155</v>
      </c>
      <c r="C135" s="1">
        <v>30303</v>
      </c>
      <c r="D135" s="2">
        <v>44159</v>
      </c>
      <c r="E135" t="s">
        <v>31</v>
      </c>
      <c r="F135" t="s">
        <v>11</v>
      </c>
      <c r="G135" s="45" t="s">
        <v>154</v>
      </c>
    </row>
    <row r="136" spans="1:9" x14ac:dyDescent="0.25">
      <c r="A136" t="s">
        <v>187</v>
      </c>
      <c r="C136" s="1">
        <v>350000</v>
      </c>
      <c r="D136" s="2">
        <v>44159</v>
      </c>
      <c r="E136" t="s">
        <v>31</v>
      </c>
      <c r="G136" s="45"/>
    </row>
    <row r="137" spans="1:9" x14ac:dyDescent="0.25">
      <c r="A137" t="s">
        <v>188</v>
      </c>
      <c r="C137" s="1">
        <v>162688</v>
      </c>
      <c r="D137" s="2">
        <v>44159</v>
      </c>
      <c r="E137" t="s">
        <v>31</v>
      </c>
      <c r="G137" s="45"/>
    </row>
    <row r="138" spans="1:9" x14ac:dyDescent="0.25">
      <c r="D138" s="2"/>
      <c r="G138" s="45"/>
    </row>
    <row r="139" spans="1:9" x14ac:dyDescent="0.25">
      <c r="D139" s="2"/>
      <c r="G139" s="44"/>
    </row>
    <row r="140" spans="1:9" x14ac:dyDescent="0.25">
      <c r="A140" s="49" t="s">
        <v>159</v>
      </c>
      <c r="C140"/>
      <c r="D140" s="20"/>
      <c r="E140" s="21"/>
      <c r="F140" t="s">
        <v>158</v>
      </c>
    </row>
    <row r="141" spans="1:9" x14ac:dyDescent="0.25">
      <c r="A141" s="49"/>
      <c r="C141"/>
      <c r="D141" s="20"/>
      <c r="F141" s="50">
        <v>0.75</v>
      </c>
      <c r="I141" s="50">
        <v>1</v>
      </c>
    </row>
    <row r="142" spans="1:9" x14ac:dyDescent="0.25">
      <c r="A142" s="51" t="s">
        <v>160</v>
      </c>
      <c r="C142" s="48">
        <f t="shared" ref="C142:C152" si="1">I142*$F$141</f>
        <v>2475</v>
      </c>
      <c r="D142" s="20"/>
      <c r="E142" t="s">
        <v>6</v>
      </c>
      <c r="I142" s="48">
        <v>3300</v>
      </c>
    </row>
    <row r="143" spans="1:9" x14ac:dyDescent="0.25">
      <c r="A143" s="52" t="s">
        <v>161</v>
      </c>
      <c r="C143" s="48">
        <f t="shared" si="1"/>
        <v>1950</v>
      </c>
      <c r="D143" s="20"/>
      <c r="E143" t="s">
        <v>6</v>
      </c>
      <c r="I143" s="48">
        <v>2600</v>
      </c>
    </row>
    <row r="144" spans="1:9" x14ac:dyDescent="0.25">
      <c r="A144" s="52" t="s">
        <v>162</v>
      </c>
      <c r="C144" s="48">
        <f t="shared" si="1"/>
        <v>750</v>
      </c>
      <c r="D144" s="20"/>
      <c r="E144" t="s">
        <v>77</v>
      </c>
      <c r="I144" s="48">
        <v>1000</v>
      </c>
    </row>
    <row r="145" spans="1:9" x14ac:dyDescent="0.25">
      <c r="A145" s="52" t="s">
        <v>163</v>
      </c>
      <c r="C145" s="48">
        <f t="shared" si="1"/>
        <v>19501.5</v>
      </c>
      <c r="D145" s="20"/>
      <c r="E145" t="s">
        <v>6</v>
      </c>
      <c r="I145" s="48">
        <v>26002</v>
      </c>
    </row>
    <row r="146" spans="1:9" x14ac:dyDescent="0.25">
      <c r="A146" s="52" t="s">
        <v>164</v>
      </c>
      <c r="C146" s="48">
        <f t="shared" si="1"/>
        <v>3825</v>
      </c>
      <c r="D146" s="20"/>
      <c r="E146" t="s">
        <v>6</v>
      </c>
      <c r="I146" s="48">
        <v>5100</v>
      </c>
    </row>
    <row r="147" spans="1:9" x14ac:dyDescent="0.25">
      <c r="A147" s="52" t="s">
        <v>165</v>
      </c>
      <c r="C147" s="48">
        <f t="shared" si="1"/>
        <v>4852.5</v>
      </c>
      <c r="D147" s="20"/>
      <c r="E147" t="s">
        <v>6</v>
      </c>
      <c r="I147" s="48">
        <v>6470</v>
      </c>
    </row>
    <row r="148" spans="1:9" x14ac:dyDescent="0.25">
      <c r="A148" s="52" t="s">
        <v>166</v>
      </c>
      <c r="C148" s="48">
        <f t="shared" si="1"/>
        <v>24502.5</v>
      </c>
      <c r="D148" s="20"/>
      <c r="E148" t="s">
        <v>6</v>
      </c>
      <c r="I148" s="48">
        <v>32670</v>
      </c>
    </row>
    <row r="149" spans="1:9" x14ac:dyDescent="0.25">
      <c r="A149" s="52" t="s">
        <v>167</v>
      </c>
      <c r="C149" s="48">
        <f t="shared" si="1"/>
        <v>2550</v>
      </c>
      <c r="D149" s="20"/>
      <c r="E149" t="s">
        <v>6</v>
      </c>
      <c r="I149" s="48">
        <v>3400</v>
      </c>
    </row>
    <row r="150" spans="1:9" x14ac:dyDescent="0.25">
      <c r="A150" s="52" t="s">
        <v>168</v>
      </c>
      <c r="C150" s="48">
        <f t="shared" si="1"/>
        <v>24375</v>
      </c>
      <c r="D150" s="20"/>
      <c r="E150" t="s">
        <v>6</v>
      </c>
      <c r="I150" s="48">
        <v>32500</v>
      </c>
    </row>
    <row r="151" spans="1:9" x14ac:dyDescent="0.25">
      <c r="A151" s="52" t="s">
        <v>169</v>
      </c>
      <c r="C151" s="48">
        <f t="shared" si="1"/>
        <v>1500</v>
      </c>
      <c r="D151" s="20"/>
      <c r="E151" t="s">
        <v>77</v>
      </c>
      <c r="I151" s="48">
        <v>2000</v>
      </c>
    </row>
    <row r="152" spans="1:9" x14ac:dyDescent="0.25">
      <c r="A152" s="52" t="s">
        <v>170</v>
      </c>
      <c r="C152" s="48">
        <f t="shared" si="1"/>
        <v>20250</v>
      </c>
      <c r="D152" s="20"/>
      <c r="E152" t="s">
        <v>6</v>
      </c>
      <c r="I152" s="48">
        <v>27000</v>
      </c>
    </row>
    <row r="153" spans="1:9" x14ac:dyDescent="0.25">
      <c r="A153" s="52" t="s">
        <v>171</v>
      </c>
      <c r="C153" s="48">
        <v>70000</v>
      </c>
      <c r="D153" s="20"/>
      <c r="E153" t="s">
        <v>55</v>
      </c>
      <c r="I153" s="48">
        <v>70000</v>
      </c>
    </row>
    <row r="154" spans="1:9" x14ac:dyDescent="0.25">
      <c r="A154" s="52" t="s">
        <v>172</v>
      </c>
      <c r="C154" s="48">
        <f t="shared" ref="C154:C166" si="2">I154*$F$141</f>
        <v>2250</v>
      </c>
      <c r="D154" s="20"/>
      <c r="E154" t="s">
        <v>55</v>
      </c>
      <c r="I154" s="48">
        <v>3000</v>
      </c>
    </row>
    <row r="155" spans="1:9" x14ac:dyDescent="0.25">
      <c r="A155" s="52" t="s">
        <v>173</v>
      </c>
      <c r="C155" s="48">
        <f t="shared" si="2"/>
        <v>150000</v>
      </c>
      <c r="D155" s="20"/>
      <c r="E155" t="s">
        <v>6</v>
      </c>
      <c r="I155" s="48">
        <v>200000</v>
      </c>
    </row>
    <row r="156" spans="1:9" x14ac:dyDescent="0.25">
      <c r="A156" s="52" t="s">
        <v>174</v>
      </c>
      <c r="C156" s="48">
        <f t="shared" si="2"/>
        <v>37500</v>
      </c>
      <c r="D156" s="20"/>
      <c r="E156" t="s">
        <v>77</v>
      </c>
      <c r="I156" s="48">
        <v>50000</v>
      </c>
    </row>
    <row r="157" spans="1:9" x14ac:dyDescent="0.25">
      <c r="A157" s="52" t="s">
        <v>175</v>
      </c>
      <c r="C157" s="48">
        <f t="shared" si="2"/>
        <v>6187.5</v>
      </c>
      <c r="D157" s="20"/>
      <c r="E157" t="s">
        <v>6</v>
      </c>
      <c r="I157" s="48">
        <v>8250</v>
      </c>
    </row>
    <row r="158" spans="1:9" x14ac:dyDescent="0.25">
      <c r="A158" s="52" t="s">
        <v>176</v>
      </c>
      <c r="C158" s="47">
        <f t="shared" si="2"/>
        <v>5010</v>
      </c>
      <c r="D158" s="56"/>
      <c r="E158" s="53" t="s">
        <v>6</v>
      </c>
      <c r="F158" s="53" t="s">
        <v>9</v>
      </c>
      <c r="I158" s="48">
        <v>6680</v>
      </c>
    </row>
    <row r="159" spans="1:9" x14ac:dyDescent="0.25">
      <c r="A159" s="52" t="s">
        <v>177</v>
      </c>
      <c r="C159" s="48">
        <f t="shared" si="2"/>
        <v>21005.25</v>
      </c>
      <c r="D159" s="20"/>
      <c r="E159" t="s">
        <v>6</v>
      </c>
      <c r="I159" s="48">
        <v>28007</v>
      </c>
    </row>
    <row r="160" spans="1:9" x14ac:dyDescent="0.25">
      <c r="A160" s="52" t="s">
        <v>178</v>
      </c>
      <c r="C160" s="48">
        <f t="shared" si="2"/>
        <v>1950</v>
      </c>
      <c r="D160" s="20"/>
      <c r="E160" t="s">
        <v>6</v>
      </c>
      <c r="I160" s="48">
        <v>2600</v>
      </c>
    </row>
    <row r="161" spans="1:9" x14ac:dyDescent="0.25">
      <c r="A161" s="52" t="s">
        <v>179</v>
      </c>
      <c r="C161" s="48">
        <f t="shared" si="2"/>
        <v>14107.5</v>
      </c>
      <c r="D161" s="20"/>
      <c r="E161" t="s">
        <v>55</v>
      </c>
      <c r="I161" s="48">
        <v>18810</v>
      </c>
    </row>
    <row r="162" spans="1:9" x14ac:dyDescent="0.25">
      <c r="A162" s="52" t="s">
        <v>180</v>
      </c>
      <c r="C162" s="48">
        <f t="shared" si="2"/>
        <v>7500</v>
      </c>
      <c r="D162" s="20"/>
      <c r="E162" s="6" t="s">
        <v>55</v>
      </c>
      <c r="F162" s="6" t="s">
        <v>11</v>
      </c>
      <c r="I162" s="48">
        <v>10000</v>
      </c>
    </row>
    <row r="163" spans="1:9" x14ac:dyDescent="0.25">
      <c r="A163" s="52" t="s">
        <v>181</v>
      </c>
      <c r="C163" s="48">
        <f t="shared" si="2"/>
        <v>15000</v>
      </c>
      <c r="D163" s="20"/>
      <c r="E163" t="s">
        <v>55</v>
      </c>
      <c r="I163" s="48">
        <v>20000</v>
      </c>
    </row>
    <row r="164" spans="1:9" x14ac:dyDescent="0.25">
      <c r="A164" s="52" t="s">
        <v>182</v>
      </c>
      <c r="B164" s="19"/>
      <c r="C164" s="48">
        <f t="shared" si="2"/>
        <v>22500</v>
      </c>
      <c r="D164" s="20"/>
      <c r="E164" s="6" t="s">
        <v>183</v>
      </c>
      <c r="F164" s="6" t="s">
        <v>11</v>
      </c>
      <c r="G164" s="7"/>
      <c r="H164" s="7"/>
      <c r="I164" s="48">
        <v>30000</v>
      </c>
    </row>
    <row r="165" spans="1:9" x14ac:dyDescent="0.25">
      <c r="A165" s="54" t="s">
        <v>184</v>
      </c>
      <c r="C165" s="48">
        <f t="shared" si="2"/>
        <v>2287.5</v>
      </c>
      <c r="D165" s="20"/>
      <c r="E165" t="s">
        <v>6</v>
      </c>
      <c r="I165" s="48">
        <v>3050</v>
      </c>
    </row>
    <row r="166" spans="1:9" x14ac:dyDescent="0.25">
      <c r="A166" s="54" t="s">
        <v>184</v>
      </c>
      <c r="C166" s="48">
        <f t="shared" si="2"/>
        <v>5835</v>
      </c>
      <c r="D166" s="20"/>
      <c r="E166" t="s">
        <v>6</v>
      </c>
      <c r="I166" s="48">
        <v>7780</v>
      </c>
    </row>
    <row r="167" spans="1:9" x14ac:dyDescent="0.25">
      <c r="A167" s="54"/>
      <c r="C167" s="48"/>
      <c r="D167" s="20"/>
      <c r="I167" s="48"/>
    </row>
    <row r="168" spans="1:9" x14ac:dyDescent="0.25">
      <c r="A168" s="54" t="s">
        <v>190</v>
      </c>
      <c r="C168" s="1">
        <v>280000</v>
      </c>
      <c r="D168" s="2"/>
      <c r="E168" t="s">
        <v>55</v>
      </c>
      <c r="F168" t="s">
        <v>191</v>
      </c>
      <c r="G168" s="44"/>
    </row>
    <row r="169" spans="1:9" x14ac:dyDescent="0.25">
      <c r="A169" s="55" t="s">
        <v>157</v>
      </c>
      <c r="C169" s="48">
        <v>151000</v>
      </c>
      <c r="D169" s="2"/>
      <c r="E169" t="s">
        <v>6</v>
      </c>
      <c r="F169" s="53" t="s">
        <v>9</v>
      </c>
      <c r="G169" s="44"/>
    </row>
    <row r="170" spans="1:9" x14ac:dyDescent="0.25">
      <c r="A170" s="55" t="s">
        <v>156</v>
      </c>
      <c r="C170" s="48">
        <v>296000</v>
      </c>
      <c r="D170" s="2"/>
      <c r="E170" t="s">
        <v>153</v>
      </c>
      <c r="F170" s="53" t="s">
        <v>9</v>
      </c>
      <c r="G170" s="44"/>
    </row>
    <row r="171" spans="1:9" x14ac:dyDescent="0.25">
      <c r="A171" s="55" t="s">
        <v>185</v>
      </c>
      <c r="E171" s="21">
        <v>447000</v>
      </c>
      <c r="F171" s="2">
        <v>44187</v>
      </c>
    </row>
    <row r="172" spans="1:9" x14ac:dyDescent="0.25">
      <c r="A172" s="55" t="s">
        <v>186</v>
      </c>
      <c r="D172" s="2"/>
      <c r="E172" s="21">
        <v>350000</v>
      </c>
      <c r="G172" s="44"/>
    </row>
    <row r="173" spans="1:9" x14ac:dyDescent="0.25">
      <c r="A173" s="55" t="s">
        <v>186</v>
      </c>
      <c r="B173" s="46"/>
      <c r="C173" s="48"/>
      <c r="D173" s="2"/>
      <c r="E173" s="21">
        <v>397664</v>
      </c>
      <c r="G173" s="44"/>
    </row>
    <row r="174" spans="1:9" x14ac:dyDescent="0.25">
      <c r="A174" s="55" t="s">
        <v>189</v>
      </c>
      <c r="B174" s="1">
        <v>1</v>
      </c>
      <c r="D174" s="2"/>
      <c r="G174" s="44"/>
    </row>
    <row r="175" spans="1:9" x14ac:dyDescent="0.25">
      <c r="A175" s="55" t="s">
        <v>192</v>
      </c>
      <c r="C175" s="1">
        <v>350000</v>
      </c>
      <c r="D175" s="2"/>
      <c r="G175" s="44"/>
    </row>
    <row r="176" spans="1:9" x14ac:dyDescent="0.25">
      <c r="A176" s="55" t="s">
        <v>192</v>
      </c>
      <c r="C176" s="1">
        <v>850000</v>
      </c>
      <c r="D176" s="2"/>
      <c r="G176" s="44"/>
    </row>
    <row r="177" spans="1:7" x14ac:dyDescent="0.25">
      <c r="A177" s="55" t="s">
        <v>99</v>
      </c>
      <c r="B177" s="1">
        <v>5000000</v>
      </c>
      <c r="D177" s="2"/>
      <c r="G177" s="44"/>
    </row>
    <row r="178" spans="1:7" x14ac:dyDescent="0.25">
      <c r="A178" s="55" t="s">
        <v>195</v>
      </c>
      <c r="C178" s="1">
        <v>76467</v>
      </c>
      <c r="D178" s="2"/>
      <c r="G178" s="44"/>
    </row>
    <row r="179" spans="1:7" x14ac:dyDescent="0.25">
      <c r="A179" s="55" t="s">
        <v>196</v>
      </c>
      <c r="C179" s="1">
        <v>87030</v>
      </c>
      <c r="D179" s="2"/>
      <c r="G179" s="44"/>
    </row>
    <row r="180" spans="1:7" x14ac:dyDescent="0.25">
      <c r="A180" s="55" t="s">
        <v>193</v>
      </c>
      <c r="C180" s="1">
        <v>150000</v>
      </c>
      <c r="D180" s="2"/>
      <c r="G180" s="44"/>
    </row>
    <row r="181" spans="1:7" x14ac:dyDescent="0.25">
      <c r="A181" s="55" t="s">
        <v>194</v>
      </c>
      <c r="C181" s="1">
        <v>476293</v>
      </c>
      <c r="D181" s="2"/>
      <c r="G181" s="44"/>
    </row>
    <row r="182" spans="1:7" x14ac:dyDescent="0.25">
      <c r="A182" s="55" t="s">
        <v>197</v>
      </c>
      <c r="C182" s="1">
        <v>1130000</v>
      </c>
      <c r="D182" s="2"/>
      <c r="G182" s="44"/>
    </row>
    <row r="183" spans="1:7" x14ac:dyDescent="0.25">
      <c r="A183" s="55" t="s">
        <v>198</v>
      </c>
      <c r="C183" s="57">
        <v>5880</v>
      </c>
      <c r="E183" t="s">
        <v>199</v>
      </c>
    </row>
    <row r="184" spans="1:7" x14ac:dyDescent="0.25">
      <c r="A184" s="55" t="s">
        <v>201</v>
      </c>
      <c r="C184" s="57">
        <v>7906</v>
      </c>
      <c r="E184" t="s">
        <v>200</v>
      </c>
    </row>
    <row r="185" spans="1:7" x14ac:dyDescent="0.25">
      <c r="A185" s="55" t="s">
        <v>202</v>
      </c>
      <c r="C185" s="1">
        <v>85000</v>
      </c>
      <c r="D185" t="s">
        <v>205</v>
      </c>
      <c r="E185" s="1" t="s">
        <v>203</v>
      </c>
    </row>
    <row r="186" spans="1:7" x14ac:dyDescent="0.25">
      <c r="A186" s="55" t="s">
        <v>204</v>
      </c>
      <c r="C186" s="1">
        <v>5112</v>
      </c>
      <c r="D186" t="s">
        <v>205</v>
      </c>
      <c r="E186" s="1" t="s">
        <v>203</v>
      </c>
    </row>
    <row r="190" spans="1:7" x14ac:dyDescent="0.25">
      <c r="A190" t="s">
        <v>40</v>
      </c>
      <c r="B190" s="1">
        <f>SUM(B5:B184)</f>
        <v>125000001</v>
      </c>
      <c r="C190" s="1">
        <f>SUM(C5:C186)</f>
        <v>121002630.58333334</v>
      </c>
    </row>
    <row r="192" spans="1:7" x14ac:dyDescent="0.25">
      <c r="A192" t="s">
        <v>41</v>
      </c>
      <c r="B192" s="1">
        <f>B190-C190</f>
        <v>3997370.4166666567</v>
      </c>
    </row>
    <row r="193" spans="1:5" x14ac:dyDescent="0.25">
      <c r="E193" s="9"/>
    </row>
    <row r="195" spans="1:5" x14ac:dyDescent="0.25">
      <c r="A195" s="6" t="s">
        <v>206</v>
      </c>
      <c r="C195" s="19"/>
    </row>
    <row r="197" spans="1:5" x14ac:dyDescent="0.25">
      <c r="A197" t="s">
        <v>207</v>
      </c>
      <c r="B197" s="1" t="s">
        <v>212</v>
      </c>
      <c r="C197" s="1">
        <v>34400</v>
      </c>
    </row>
    <row r="198" spans="1:5" x14ac:dyDescent="0.25">
      <c r="A198" t="s">
        <v>207</v>
      </c>
      <c r="B198" s="1" t="s">
        <v>211</v>
      </c>
      <c r="C198" s="1">
        <v>3400</v>
      </c>
    </row>
    <row r="199" spans="1:5" x14ac:dyDescent="0.25">
      <c r="A199" t="s">
        <v>208</v>
      </c>
      <c r="B199" s="1" t="s">
        <v>211</v>
      </c>
      <c r="C199" s="1">
        <v>28501</v>
      </c>
    </row>
    <row r="200" spans="1:5" x14ac:dyDescent="0.25">
      <c r="A200" t="s">
        <v>208</v>
      </c>
      <c r="B200" s="1" t="s">
        <v>211</v>
      </c>
      <c r="C200" s="1">
        <v>24021</v>
      </c>
    </row>
    <row r="201" spans="1:5" x14ac:dyDescent="0.25">
      <c r="A201" t="s">
        <v>208</v>
      </c>
      <c r="B201" s="1" t="s">
        <v>211</v>
      </c>
      <c r="C201" s="1">
        <v>16502</v>
      </c>
    </row>
    <row r="202" spans="1:5" x14ac:dyDescent="0.25">
      <c r="A202" t="s">
        <v>209</v>
      </c>
      <c r="B202" s="1" t="s">
        <v>211</v>
      </c>
      <c r="C202" s="1">
        <v>2800</v>
      </c>
    </row>
    <row r="203" spans="1:5" x14ac:dyDescent="0.25">
      <c r="A203" t="s">
        <v>209</v>
      </c>
      <c r="B203" s="1" t="s">
        <v>211</v>
      </c>
      <c r="C203" s="1">
        <v>2300</v>
      </c>
    </row>
    <row r="204" spans="1:5" x14ac:dyDescent="0.25">
      <c r="A204" t="s">
        <v>209</v>
      </c>
      <c r="B204" s="1" t="s">
        <v>211</v>
      </c>
      <c r="C204" s="1">
        <v>2300</v>
      </c>
    </row>
    <row r="205" spans="1:5" x14ac:dyDescent="0.25">
      <c r="A205" t="s">
        <v>209</v>
      </c>
      <c r="B205" s="1" t="s">
        <v>211</v>
      </c>
      <c r="C205" s="1">
        <v>2800</v>
      </c>
    </row>
    <row r="206" spans="1:5" x14ac:dyDescent="0.25">
      <c r="A206" t="s">
        <v>210</v>
      </c>
      <c r="B206" s="1" t="s">
        <v>211</v>
      </c>
      <c r="C206" s="1">
        <v>60000</v>
      </c>
    </row>
    <row r="207" spans="1:5" x14ac:dyDescent="0.25">
      <c r="A207" t="s">
        <v>213</v>
      </c>
      <c r="B207" s="1" t="s">
        <v>214</v>
      </c>
      <c r="C207" s="1">
        <v>50000</v>
      </c>
    </row>
  </sheetData>
  <autoFilter ref="F101:F130" xr:uid="{00000000-0009-0000-0000-000000000000}"/>
  <phoneticPr fontId="13" type="noConversion"/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Anakena</dc:creator>
  <cp:lastModifiedBy>Pedro </cp:lastModifiedBy>
  <dcterms:created xsi:type="dcterms:W3CDTF">2015-06-05T18:17:20Z</dcterms:created>
  <dcterms:modified xsi:type="dcterms:W3CDTF">2021-10-20T13:53:35Z</dcterms:modified>
</cp:coreProperties>
</file>
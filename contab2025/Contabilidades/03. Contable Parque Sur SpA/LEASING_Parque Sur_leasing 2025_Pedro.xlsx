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Escritorio\CLIENTES EMPRESAS Y PERS.NATURALES\EMPRESAS TERRENOS Y MAQUINARIA\BALANCES AÑO 2025 A diciembre\PARQUE SUR\LEASING\"/>
    </mc:Choice>
  </mc:AlternateContent>
  <xr:revisionPtr revIDLastSave="0" documentId="13_ncr:1_{E932E174-574F-4C30-A08F-8BFFA651FB60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LEASING con 9995069" sheetId="3" r:id="rId1"/>
    <sheet name="Leasing cont 10000582" sheetId="7" r:id="rId2"/>
    <sheet name="Leasing cont 9998305" sheetId="6" r:id="rId3"/>
    <sheet name="Leasing cont 9992667" sheetId="5" r:id="rId4"/>
    <sheet name="Leasing cont 9985815" sheetId="4" r:id="rId5"/>
    <sheet name="Leasing 10014750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7" l="1"/>
  <c r="G10" i="4" l="1"/>
  <c r="E8" i="4" s="1"/>
  <c r="G6" i="4"/>
  <c r="H6" i="4" s="1"/>
  <c r="E4" i="4" s="1"/>
  <c r="G9" i="5" l="1"/>
  <c r="H9" i="5" s="1"/>
  <c r="E7" i="5" s="1"/>
  <c r="F8" i="5" s="1"/>
  <c r="G13" i="5"/>
  <c r="E11" i="5" s="1"/>
  <c r="F12" i="5" s="1"/>
  <c r="G12" i="6"/>
  <c r="E10" i="6" s="1"/>
  <c r="F11" i="6" s="1"/>
  <c r="B9" i="3"/>
  <c r="B6" i="3"/>
  <c r="B10" i="3" s="1"/>
  <c r="G10" i="7"/>
  <c r="E8" i="7" s="1"/>
  <c r="F9" i="7" s="1"/>
  <c r="I6" i="7"/>
  <c r="E4" i="7" s="1"/>
  <c r="F5" i="7" s="1"/>
  <c r="F9" i="4"/>
  <c r="F5" i="4"/>
  <c r="G8" i="6"/>
  <c r="G9" i="6" s="1"/>
  <c r="E6" i="6" s="1"/>
  <c r="F7" i="6" s="1"/>
  <c r="E8" i="3" l="1"/>
  <c r="F9" i="3" s="1"/>
  <c r="B11" i="3"/>
  <c r="E4" i="3" s="1"/>
  <c r="F5" i="3" s="1"/>
</calcChain>
</file>

<file path=xl/sharedStrings.xml><?xml version="1.0" encoding="utf-8"?>
<sst xmlns="http://schemas.openxmlformats.org/spreadsheetml/2006/main" count="73" uniqueCount="39">
  <si>
    <t>Activos en leasing</t>
  </si>
  <si>
    <t>gtos financieros leasing</t>
  </si>
  <si>
    <t xml:space="preserve">                                 Intereses diferidos por leasing</t>
  </si>
  <si>
    <t>s/contrato</t>
  </si>
  <si>
    <t>Depreciacion</t>
  </si>
  <si>
    <t xml:space="preserve">                                 amortiz acumulada del bien</t>
  </si>
  <si>
    <t>reconocimiento del gasto por depreciacion (neto cuotas)</t>
  </si>
  <si>
    <t>cuota sin interes</t>
  </si>
  <si>
    <t>interes</t>
  </si>
  <si>
    <t xml:space="preserve">                   Obligac por leasing a L/P </t>
  </si>
  <si>
    <t>AÑO 2025</t>
  </si>
  <si>
    <t>INTERES</t>
  </si>
  <si>
    <t>A NOVIEMBRE 2025</t>
  </si>
  <si>
    <t>CUOTA</t>
  </si>
  <si>
    <t>interes a nov 2025 (menos)</t>
  </si>
  <si>
    <t>total a depreciar</t>
  </si>
  <si>
    <t>menos intereses</t>
  </si>
  <si>
    <t>cuota c/interes</t>
  </si>
  <si>
    <t>X 12</t>
  </si>
  <si>
    <t>pago cuotas a dic 2025</t>
  </si>
  <si>
    <t>Interes diferido 12 meses</t>
  </si>
  <si>
    <t>PARA CONTABILIZAR AÑO 2025</t>
  </si>
  <si>
    <t>X12</t>
  </si>
  <si>
    <t>cuota del año sin interes</t>
  </si>
  <si>
    <t>Intereses</t>
  </si>
  <si>
    <t>interes año 2025</t>
  </si>
  <si>
    <t>Tres Gruas Horquilla</t>
  </si>
  <si>
    <t>Marca Toyota Modelo FGZN25, año comercial 2026, nuevo y sin uso</t>
  </si>
  <si>
    <t xml:space="preserve">Inicio 29 septiembre 2025 </t>
  </si>
  <si>
    <t>Hasta el 25 octubre 2029</t>
  </si>
  <si>
    <t>Una renta equivalente a 12.120.000</t>
  </si>
  <si>
    <t>48 cuotas iguales</t>
  </si>
  <si>
    <t>cuotas de 1.295.143 pesos cada una de ellas</t>
  </si>
  <si>
    <t>a partir del 25/10/2025</t>
  </si>
  <si>
    <t>precio  total de 60.600.000 de pesos más IVA</t>
  </si>
  <si>
    <t xml:space="preserve">INTERES </t>
  </si>
  <si>
    <t xml:space="preserve">              obligac por leasing a c/P 2025</t>
  </si>
  <si>
    <t>cuota neta s/interes</t>
  </si>
  <si>
    <t>interes 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</si>
</sst>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65" fontId="0" fillId="0" borderId="0" xfId="1" applyNumberFormat="1" applyFont="1"/>
    <xf numFmtId="165" fontId="0" fillId="0" borderId="0" xfId="1" applyNumberFormat="1" applyFont="1" applyAlignment="1">
      <alignment wrapText="1"/>
    </xf>
    <xf numFmtId="0" fontId="16" fillId="0" borderId="0" xfId="0" applyFont="1"/>
    <xf numFmtId="165" fontId="0" fillId="0" borderId="0" xfId="0" applyNumberFormat="1"/>
    <xf numFmtId="0" fontId="0" fillId="0" borderId="0" xfId="0" applyBorder="1"/>
    <xf numFmtId="0" fontId="0" fillId="0" borderId="10" xfId="0" applyBorder="1"/>
    <xf numFmtId="165" fontId="0" fillId="0" borderId="11" xfId="0" applyNumberFormat="1" applyBorder="1"/>
    <xf numFmtId="0" fontId="0" fillId="0" borderId="12" xfId="0" applyBorder="1"/>
    <xf numFmtId="0" fontId="0" fillId="0" borderId="13" xfId="0" applyBorder="1"/>
    <xf numFmtId="165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5" fontId="0" fillId="0" borderId="10" xfId="1" applyNumberFormat="1" applyFont="1" applyBorder="1"/>
    <xf numFmtId="165" fontId="0" fillId="0" borderId="13" xfId="1" applyNumberFormat="1" applyFont="1" applyBorder="1"/>
    <xf numFmtId="165" fontId="0" fillId="0" borderId="15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 applyAlignment="1">
      <alignment wrapText="1"/>
    </xf>
    <xf numFmtId="165" fontId="0" fillId="0" borderId="0" xfId="1" applyNumberFormat="1" applyFont="1" applyBorder="1"/>
    <xf numFmtId="165" fontId="0" fillId="0" borderId="14" xfId="1" applyNumberFormat="1" applyFont="1" applyBorder="1"/>
    <xf numFmtId="165" fontId="0" fillId="0" borderId="14" xfId="1" applyNumberFormat="1" applyFont="1" applyBorder="1" applyAlignment="1">
      <alignment wrapText="1"/>
    </xf>
    <xf numFmtId="165" fontId="0" fillId="0" borderId="16" xfId="1" applyNumberFormat="1" applyFont="1" applyBorder="1"/>
    <xf numFmtId="165" fontId="0" fillId="0" borderId="17" xfId="1" applyNumberFormat="1" applyFont="1" applyBorder="1" applyAlignment="1">
      <alignment wrapText="1"/>
    </xf>
    <xf numFmtId="0" fontId="0" fillId="0" borderId="10" xfId="0" applyFont="1" applyBorder="1"/>
    <xf numFmtId="165" fontId="1" fillId="0" borderId="11" xfId="1" applyNumberFormat="1" applyFont="1" applyBorder="1"/>
    <xf numFmtId="165" fontId="1" fillId="0" borderId="12" xfId="1" applyNumberFormat="1" applyFont="1" applyBorder="1" applyAlignment="1">
      <alignment wrapText="1"/>
    </xf>
    <xf numFmtId="0" fontId="0" fillId="0" borderId="13" xfId="0" applyFont="1" applyBorder="1"/>
    <xf numFmtId="165" fontId="1" fillId="0" borderId="0" xfId="1" applyNumberFormat="1" applyFont="1" applyBorder="1"/>
    <xf numFmtId="165" fontId="1" fillId="0" borderId="14" xfId="1" applyNumberFormat="1" applyFont="1" applyBorder="1" applyAlignment="1">
      <alignment wrapText="1"/>
    </xf>
    <xf numFmtId="165" fontId="0" fillId="0" borderId="17" xfId="1" applyNumberFormat="1" applyFont="1" applyBorder="1"/>
    <xf numFmtId="0" fontId="16" fillId="35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4" borderId="0" xfId="0" applyFont="1" applyFill="1"/>
    <xf numFmtId="0" fontId="16" fillId="0" borderId="13" xfId="0" applyFont="1" applyBorder="1"/>
    <xf numFmtId="165" fontId="16" fillId="0" borderId="14" xfId="1" applyNumberFormat="1" applyFont="1" applyBorder="1"/>
    <xf numFmtId="165" fontId="0" fillId="0" borderId="12" xfId="1" applyNumberFormat="1" applyFont="1" applyBorder="1"/>
    <xf numFmtId="165" fontId="0" fillId="33" borderId="0" xfId="1" applyNumberFormat="1" applyFont="1" applyFill="1" applyAlignment="1">
      <alignment horizontal="center"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3B7D-F837-4430-B819-34260318029E}">
  <dimension ref="A3:G15"/>
  <sheetViews>
    <sheetView workbookViewId="0">
      <selection activeCell="G13" sqref="G13"/>
    </sheetView>
  </sheetViews>
  <sheetFormatPr baseColWidth="10" defaultRowHeight="14.4" x14ac:dyDescent="0.3"/>
  <cols>
    <col min="1" max="1" width="26.44140625" customWidth="1"/>
    <col min="2" max="2" width="13" customWidth="1"/>
    <col min="3" max="3" width="10.33203125" customWidth="1"/>
    <col min="4" max="4" width="28.6640625" customWidth="1"/>
    <col min="5" max="5" width="12.44140625" style="1" bestFit="1" customWidth="1"/>
    <col min="6" max="6" width="13.44140625" style="1" customWidth="1"/>
    <col min="7" max="7" width="21" style="1" customWidth="1"/>
    <col min="8" max="8" width="14.77734375" customWidth="1"/>
  </cols>
  <sheetData>
    <row r="3" spans="1:7" x14ac:dyDescent="0.3">
      <c r="B3" s="31" t="s">
        <v>10</v>
      </c>
      <c r="D3" s="33" t="s">
        <v>21</v>
      </c>
      <c r="F3" s="2"/>
    </row>
    <row r="4" spans="1:7" ht="22.8" customHeight="1" x14ac:dyDescent="0.3">
      <c r="D4" s="6" t="s">
        <v>4</v>
      </c>
      <c r="E4" s="17">
        <f>B11</f>
        <v>4719840</v>
      </c>
      <c r="F4" s="18"/>
      <c r="G4" s="37" t="s">
        <v>37</v>
      </c>
    </row>
    <row r="5" spans="1:7" ht="27" customHeight="1" x14ac:dyDescent="0.3">
      <c r="A5" s="6" t="s">
        <v>11</v>
      </c>
      <c r="B5" s="36">
        <v>22196</v>
      </c>
      <c r="D5" s="9" t="s">
        <v>5</v>
      </c>
      <c r="E5" s="19"/>
      <c r="F5" s="21">
        <f>E4</f>
        <v>4719840</v>
      </c>
      <c r="G5" s="37"/>
    </row>
    <row r="6" spans="1:7" x14ac:dyDescent="0.3">
      <c r="A6" s="9" t="s">
        <v>12</v>
      </c>
      <c r="B6" s="20">
        <f>B5*12</f>
        <v>266352</v>
      </c>
      <c r="D6" s="11" t="s">
        <v>6</v>
      </c>
      <c r="E6" s="22"/>
      <c r="F6" s="23"/>
    </row>
    <row r="7" spans="1:7" x14ac:dyDescent="0.3">
      <c r="A7" s="9"/>
      <c r="B7" s="20"/>
    </row>
    <row r="8" spans="1:7" x14ac:dyDescent="0.3">
      <c r="A8" s="9" t="s">
        <v>13</v>
      </c>
      <c r="B8" s="20">
        <v>415516</v>
      </c>
      <c r="D8" s="24" t="s">
        <v>1</v>
      </c>
      <c r="E8" s="25">
        <f>B10</f>
        <v>266352</v>
      </c>
      <c r="F8" s="26"/>
      <c r="G8" s="1" t="s">
        <v>38</v>
      </c>
    </row>
    <row r="9" spans="1:7" x14ac:dyDescent="0.3">
      <c r="A9" s="9" t="s">
        <v>19</v>
      </c>
      <c r="B9" s="20">
        <f>B8*12</f>
        <v>4986192</v>
      </c>
      <c r="D9" s="27" t="s">
        <v>2</v>
      </c>
      <c r="E9" s="28"/>
      <c r="F9" s="29">
        <f>E8</f>
        <v>266352</v>
      </c>
    </row>
    <row r="10" spans="1:7" x14ac:dyDescent="0.3">
      <c r="A10" s="34" t="s">
        <v>14</v>
      </c>
      <c r="B10" s="35">
        <f>B6</f>
        <v>266352</v>
      </c>
      <c r="D10" s="11" t="s">
        <v>20</v>
      </c>
      <c r="E10" s="22"/>
      <c r="F10" s="30"/>
    </row>
    <row r="11" spans="1:7" x14ac:dyDescent="0.3">
      <c r="A11" s="34" t="s">
        <v>15</v>
      </c>
      <c r="B11" s="35">
        <f>B9-B10</f>
        <v>4719840</v>
      </c>
      <c r="F11" s="2"/>
    </row>
    <row r="12" spans="1:7" x14ac:dyDescent="0.3">
      <c r="A12" s="11"/>
      <c r="B12" s="30"/>
      <c r="F12" s="2"/>
    </row>
    <row r="13" spans="1:7" x14ac:dyDescent="0.3">
      <c r="B13" s="1"/>
      <c r="F13" s="2"/>
    </row>
    <row r="14" spans="1:7" x14ac:dyDescent="0.3">
      <c r="F14" s="2"/>
    </row>
    <row r="15" spans="1:7" x14ac:dyDescent="0.3">
      <c r="F15" s="2"/>
    </row>
  </sheetData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39BE-47B8-4398-93E3-009E4B5C5E5A}">
  <sheetPr>
    <tabColor rgb="FFFFC000"/>
  </sheetPr>
  <dimension ref="D1:J13"/>
  <sheetViews>
    <sheetView workbookViewId="0">
      <selection activeCell="I12" sqref="I12"/>
    </sheetView>
  </sheetViews>
  <sheetFormatPr baseColWidth="10" defaultRowHeight="14.4" x14ac:dyDescent="0.3"/>
  <cols>
    <col min="4" max="4" width="43.6640625" customWidth="1"/>
    <col min="5" max="5" width="13.88671875" bestFit="1" customWidth="1"/>
    <col min="6" max="6" width="13.21875" customWidth="1"/>
    <col min="7" max="7" width="16.6640625" customWidth="1"/>
    <col min="8" max="8" width="13.88671875" bestFit="1" customWidth="1"/>
    <col min="9" max="9" width="12.88671875" bestFit="1" customWidth="1"/>
    <col min="10" max="10" width="15" customWidth="1"/>
  </cols>
  <sheetData>
    <row r="1" spans="4:10" x14ac:dyDescent="0.3">
      <c r="H1" s="1"/>
    </row>
    <row r="2" spans="4:10" x14ac:dyDescent="0.3">
      <c r="H2" s="1"/>
    </row>
    <row r="3" spans="4:10" x14ac:dyDescent="0.3">
      <c r="D3" s="32" t="s">
        <v>10</v>
      </c>
      <c r="H3" s="1"/>
    </row>
    <row r="4" spans="4:10" x14ac:dyDescent="0.3">
      <c r="D4" s="6" t="s">
        <v>4</v>
      </c>
      <c r="E4" s="7">
        <f>I6</f>
        <v>18720000</v>
      </c>
      <c r="F4" s="8"/>
      <c r="G4" t="s">
        <v>7</v>
      </c>
      <c r="H4" s="1">
        <v>1659803</v>
      </c>
      <c r="I4" s="4">
        <f>H4*12</f>
        <v>19917636</v>
      </c>
    </row>
    <row r="5" spans="4:10" x14ac:dyDescent="0.3">
      <c r="D5" s="9" t="s">
        <v>5</v>
      </c>
      <c r="E5" s="5"/>
      <c r="F5" s="10">
        <f>E4</f>
        <v>18720000</v>
      </c>
      <c r="H5" s="1">
        <v>-1197636</v>
      </c>
      <c r="I5" s="1">
        <v>-1197636</v>
      </c>
      <c r="J5" t="s">
        <v>16</v>
      </c>
    </row>
    <row r="6" spans="4:10" x14ac:dyDescent="0.3">
      <c r="D6" s="11" t="s">
        <v>6</v>
      </c>
      <c r="E6" s="12"/>
      <c r="F6" s="13"/>
      <c r="H6" s="1"/>
      <c r="I6" s="4">
        <f>SUM(I4:I5)</f>
        <v>18720000</v>
      </c>
    </row>
    <row r="7" spans="4:10" x14ac:dyDescent="0.3">
      <c r="H7" s="1"/>
    </row>
    <row r="8" spans="4:10" x14ac:dyDescent="0.3">
      <c r="D8" s="6" t="s">
        <v>1</v>
      </c>
      <c r="E8" s="7">
        <f>G10</f>
        <v>1197636</v>
      </c>
      <c r="F8" s="8"/>
      <c r="G8" t="s">
        <v>8</v>
      </c>
      <c r="H8" s="1"/>
    </row>
    <row r="9" spans="4:10" x14ac:dyDescent="0.3">
      <c r="D9" s="9" t="s">
        <v>2</v>
      </c>
      <c r="E9" s="5"/>
      <c r="F9" s="10">
        <f>E8</f>
        <v>1197636</v>
      </c>
      <c r="G9" s="1">
        <v>99803</v>
      </c>
      <c r="H9" s="1" t="s">
        <v>18</v>
      </c>
    </row>
    <row r="10" spans="4:10" x14ac:dyDescent="0.3">
      <c r="D10" s="11"/>
      <c r="E10" s="12"/>
      <c r="F10" s="13"/>
      <c r="G10" s="1">
        <f>G9*12</f>
        <v>1197636</v>
      </c>
      <c r="H10" s="1"/>
    </row>
    <row r="11" spans="4:10" x14ac:dyDescent="0.3">
      <c r="H11" s="1"/>
    </row>
    <row r="12" spans="4:10" x14ac:dyDescent="0.3">
      <c r="H12" s="1"/>
    </row>
    <row r="13" spans="4:10" x14ac:dyDescent="0.3">
      <c r="H1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D230-C3C7-4EEB-934F-62FE3A30755D}">
  <dimension ref="D4:H12"/>
  <sheetViews>
    <sheetView workbookViewId="0">
      <selection activeCell="J13" sqref="J13"/>
    </sheetView>
  </sheetViews>
  <sheetFormatPr baseColWidth="10" defaultRowHeight="14.4" x14ac:dyDescent="0.3"/>
  <cols>
    <col min="4" max="4" width="42.6640625" customWidth="1"/>
    <col min="6" max="6" width="14.109375" customWidth="1"/>
    <col min="7" max="7" width="12.88671875" bestFit="1" customWidth="1"/>
  </cols>
  <sheetData>
    <row r="4" spans="4:8" x14ac:dyDescent="0.3">
      <c r="D4" s="33" t="s">
        <v>10</v>
      </c>
    </row>
    <row r="6" spans="4:8" x14ac:dyDescent="0.3">
      <c r="D6" s="6" t="s">
        <v>4</v>
      </c>
      <c r="E6" s="7">
        <f>G9</f>
        <v>5446344</v>
      </c>
      <c r="F6" s="8"/>
      <c r="G6" s="1">
        <v>473271</v>
      </c>
    </row>
    <row r="7" spans="4:8" x14ac:dyDescent="0.3">
      <c r="D7" s="9" t="s">
        <v>5</v>
      </c>
      <c r="E7" s="5"/>
      <c r="F7" s="10">
        <f>E6</f>
        <v>5446344</v>
      </c>
      <c r="G7" s="1">
        <v>-19409</v>
      </c>
    </row>
    <row r="8" spans="4:8" x14ac:dyDescent="0.3">
      <c r="D8" s="11" t="s">
        <v>6</v>
      </c>
      <c r="E8" s="12"/>
      <c r="F8" s="13"/>
      <c r="G8" s="1">
        <f>SUM(G6:G7)</f>
        <v>453862</v>
      </c>
      <c r="H8" t="s">
        <v>22</v>
      </c>
    </row>
    <row r="9" spans="4:8" x14ac:dyDescent="0.3">
      <c r="G9" s="1">
        <f>G8*12</f>
        <v>5446344</v>
      </c>
    </row>
    <row r="10" spans="4:8" x14ac:dyDescent="0.3">
      <c r="D10" s="6" t="s">
        <v>1</v>
      </c>
      <c r="E10" s="7">
        <f>G12</f>
        <v>232908</v>
      </c>
      <c r="F10" s="8"/>
    </row>
    <row r="11" spans="4:8" x14ac:dyDescent="0.3">
      <c r="D11" s="9" t="s">
        <v>2</v>
      </c>
      <c r="E11" s="5"/>
      <c r="F11" s="10">
        <f>E10</f>
        <v>232908</v>
      </c>
      <c r="G11" s="1">
        <v>19409</v>
      </c>
      <c r="H11" t="s">
        <v>22</v>
      </c>
    </row>
    <row r="12" spans="4:8" x14ac:dyDescent="0.3">
      <c r="D12" s="11"/>
      <c r="E12" s="12"/>
      <c r="F12" s="13"/>
      <c r="G12" s="1">
        <f>G11*12</f>
        <v>232908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9ED1-0FEF-4890-B9D1-F631113074ED}">
  <dimension ref="D6:H13"/>
  <sheetViews>
    <sheetView workbookViewId="0">
      <selection activeCell="D17" sqref="D17"/>
    </sheetView>
  </sheetViews>
  <sheetFormatPr baseColWidth="10" defaultRowHeight="14.4" x14ac:dyDescent="0.3"/>
  <cols>
    <col min="2" max="2" width="22.5546875" customWidth="1"/>
    <col min="4" max="4" width="46.5546875" customWidth="1"/>
    <col min="7" max="7" width="13.88671875" bestFit="1" customWidth="1"/>
  </cols>
  <sheetData>
    <row r="6" spans="4:8" x14ac:dyDescent="0.3">
      <c r="D6" s="33" t="s">
        <v>10</v>
      </c>
    </row>
    <row r="7" spans="4:8" x14ac:dyDescent="0.3">
      <c r="D7" s="6" t="s">
        <v>4</v>
      </c>
      <c r="E7" s="7">
        <f>H9</f>
        <v>14652000</v>
      </c>
      <c r="F7" s="8"/>
      <c r="G7" s="1">
        <v>1348669</v>
      </c>
    </row>
    <row r="8" spans="4:8" x14ac:dyDescent="0.3">
      <c r="D8" s="9" t="s">
        <v>5</v>
      </c>
      <c r="E8" s="5"/>
      <c r="F8" s="10">
        <f>E7</f>
        <v>14652000</v>
      </c>
      <c r="G8" s="4">
        <v>-127669</v>
      </c>
    </row>
    <row r="9" spans="4:8" x14ac:dyDescent="0.3">
      <c r="D9" s="11" t="s">
        <v>6</v>
      </c>
      <c r="E9" s="12"/>
      <c r="F9" s="13"/>
      <c r="G9" s="4">
        <f>SUM(G7:G8)</f>
        <v>1221000</v>
      </c>
      <c r="H9" s="4">
        <f>G9*12</f>
        <v>14652000</v>
      </c>
    </row>
    <row r="11" spans="4:8" x14ac:dyDescent="0.3">
      <c r="D11" s="6" t="s">
        <v>1</v>
      </c>
      <c r="E11" s="7">
        <f>G13</f>
        <v>1532028</v>
      </c>
      <c r="F11" s="8"/>
    </row>
    <row r="12" spans="4:8" x14ac:dyDescent="0.3">
      <c r="D12" s="9" t="s">
        <v>2</v>
      </c>
      <c r="E12" s="5"/>
      <c r="F12" s="10">
        <f>E11</f>
        <v>1532028</v>
      </c>
      <c r="G12" s="1">
        <v>127669</v>
      </c>
      <c r="H12" t="s">
        <v>22</v>
      </c>
    </row>
    <row r="13" spans="4:8" x14ac:dyDescent="0.3">
      <c r="D13" s="11"/>
      <c r="E13" s="12"/>
      <c r="F13" s="13"/>
      <c r="G13" s="1">
        <f>G12*12</f>
        <v>1532028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A96B-03A4-4F6C-BF49-91B0ABEDF60D}">
  <dimension ref="D3:I11"/>
  <sheetViews>
    <sheetView workbookViewId="0">
      <selection activeCell="H17" sqref="H17"/>
    </sheetView>
  </sheetViews>
  <sheetFormatPr baseColWidth="10" defaultRowHeight="14.4" x14ac:dyDescent="0.3"/>
  <cols>
    <col min="4" max="4" width="46.6640625" customWidth="1"/>
    <col min="7" max="7" width="12.88671875" bestFit="1" customWidth="1"/>
    <col min="9" max="11" width="13.88671875" bestFit="1" customWidth="1"/>
  </cols>
  <sheetData>
    <row r="3" spans="4:9" x14ac:dyDescent="0.3">
      <c r="D3" s="33" t="s">
        <v>10</v>
      </c>
    </row>
    <row r="4" spans="4:9" x14ac:dyDescent="0.3">
      <c r="D4" s="6" t="s">
        <v>4</v>
      </c>
      <c r="E4" s="7">
        <f>H6</f>
        <v>12120000</v>
      </c>
      <c r="F4" s="8"/>
      <c r="G4" s="1">
        <v>1253118</v>
      </c>
      <c r="H4" t="s">
        <v>17</v>
      </c>
    </row>
    <row r="5" spans="4:9" x14ac:dyDescent="0.3">
      <c r="D5" s="9" t="s">
        <v>5</v>
      </c>
      <c r="E5" s="5"/>
      <c r="F5" s="10">
        <f>E4</f>
        <v>12120000</v>
      </c>
      <c r="G5" s="1">
        <v>-243118</v>
      </c>
    </row>
    <row r="6" spans="4:9" x14ac:dyDescent="0.3">
      <c r="D6" s="11" t="s">
        <v>6</v>
      </c>
      <c r="E6" s="12"/>
      <c r="F6" s="13"/>
      <c r="G6" s="1">
        <f>SUM(G4:G5)</f>
        <v>1010000</v>
      </c>
      <c r="H6" s="4">
        <f>G6*12</f>
        <v>12120000</v>
      </c>
      <c r="I6" t="s">
        <v>23</v>
      </c>
    </row>
    <row r="8" spans="4:9" x14ac:dyDescent="0.3">
      <c r="D8" s="6" t="s">
        <v>1</v>
      </c>
      <c r="E8" s="7">
        <f>G10</f>
        <v>2917416</v>
      </c>
      <c r="F8" s="8"/>
      <c r="G8" s="1"/>
    </row>
    <row r="9" spans="4:9" x14ac:dyDescent="0.3">
      <c r="D9" s="9" t="s">
        <v>2</v>
      </c>
      <c r="E9" s="5"/>
      <c r="F9" s="10">
        <f>E8</f>
        <v>2917416</v>
      </c>
      <c r="G9" s="1">
        <v>243118</v>
      </c>
      <c r="H9" t="s">
        <v>22</v>
      </c>
      <c r="I9" t="s">
        <v>24</v>
      </c>
    </row>
    <row r="10" spans="4:9" x14ac:dyDescent="0.3">
      <c r="D10" s="11"/>
      <c r="E10" s="12"/>
      <c r="F10" s="13"/>
      <c r="G10" s="1">
        <f>G9*12</f>
        <v>2917416</v>
      </c>
      <c r="I10" t="s">
        <v>25</v>
      </c>
    </row>
    <row r="11" spans="4:9" x14ac:dyDescent="0.3">
      <c r="G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270-458A-469B-8E43-42C1649A2CCD}">
  <dimension ref="B2:H30"/>
  <sheetViews>
    <sheetView tabSelected="1" topLeftCell="A4" workbookViewId="0">
      <selection activeCell="E35" sqref="E35"/>
    </sheetView>
  </sheetViews>
  <sheetFormatPr baseColWidth="10" defaultRowHeight="14.4" x14ac:dyDescent="0.3"/>
  <cols>
    <col min="2" max="2" width="18.21875" customWidth="1"/>
    <col min="3" max="3" width="28.77734375" customWidth="1"/>
    <col min="4" max="4" width="13.88671875" bestFit="1" customWidth="1"/>
    <col min="5" max="5" width="12.88671875" bestFit="1" customWidth="1"/>
    <col min="6" max="6" width="13.88671875" bestFit="1" customWidth="1"/>
  </cols>
  <sheetData>
    <row r="2" spans="2:8" x14ac:dyDescent="0.3">
      <c r="B2" s="3" t="s">
        <v>26</v>
      </c>
    </row>
    <row r="3" spans="2:8" x14ac:dyDescent="0.3">
      <c r="B3" s="3" t="s">
        <v>27</v>
      </c>
    </row>
    <row r="5" spans="2:8" x14ac:dyDescent="0.3">
      <c r="B5" s="3" t="s">
        <v>28</v>
      </c>
    </row>
    <row r="6" spans="2:8" x14ac:dyDescent="0.3">
      <c r="B6" s="3" t="s">
        <v>29</v>
      </c>
    </row>
    <row r="8" spans="2:8" x14ac:dyDescent="0.3">
      <c r="B8" t="s">
        <v>30</v>
      </c>
    </row>
    <row r="9" spans="2:8" x14ac:dyDescent="0.3">
      <c r="B9" t="s">
        <v>31</v>
      </c>
    </row>
    <row r="10" spans="2:8" x14ac:dyDescent="0.3">
      <c r="B10" t="s">
        <v>32</v>
      </c>
    </row>
    <row r="11" spans="2:8" x14ac:dyDescent="0.3">
      <c r="B11" t="s">
        <v>33</v>
      </c>
    </row>
    <row r="12" spans="2:8" x14ac:dyDescent="0.3">
      <c r="B12" t="s">
        <v>34</v>
      </c>
    </row>
    <row r="14" spans="2:8" x14ac:dyDescent="0.3">
      <c r="B14" s="14" t="s">
        <v>3</v>
      </c>
      <c r="C14" s="17"/>
      <c r="D14" s="36"/>
      <c r="E14" s="19"/>
      <c r="F14" s="1"/>
      <c r="G14" s="1"/>
      <c r="H14" s="1"/>
    </row>
    <row r="15" spans="2:8" x14ac:dyDescent="0.3">
      <c r="B15" s="15" t="s">
        <v>0</v>
      </c>
      <c r="C15" s="19">
        <v>60600000</v>
      </c>
      <c r="D15" s="20"/>
      <c r="E15" s="19"/>
      <c r="F15" s="1"/>
      <c r="G15" s="1"/>
      <c r="H15" s="1"/>
    </row>
    <row r="16" spans="2:8" x14ac:dyDescent="0.3">
      <c r="B16" s="15" t="s">
        <v>35</v>
      </c>
      <c r="C16" s="19">
        <v>1566864</v>
      </c>
      <c r="D16" s="20"/>
      <c r="E16" s="19"/>
      <c r="F16" s="1"/>
      <c r="G16" s="1"/>
      <c r="H16" s="1"/>
    </row>
    <row r="17" spans="2:8" x14ac:dyDescent="0.3">
      <c r="B17" s="15" t="s">
        <v>9</v>
      </c>
      <c r="C17" s="19"/>
      <c r="D17" s="20">
        <v>3885429</v>
      </c>
      <c r="E17" s="19"/>
      <c r="F17" s="1"/>
      <c r="G17" s="1"/>
      <c r="H17" s="1"/>
    </row>
    <row r="18" spans="2:8" x14ac:dyDescent="0.3">
      <c r="B18" s="15" t="s">
        <v>36</v>
      </c>
      <c r="C18" s="19"/>
      <c r="D18" s="20">
        <v>58281435</v>
      </c>
      <c r="E18" s="19"/>
      <c r="F18" s="1"/>
      <c r="G18" s="1"/>
      <c r="H18" s="1"/>
    </row>
    <row r="19" spans="2:8" x14ac:dyDescent="0.3">
      <c r="B19" s="16"/>
      <c r="C19" s="22">
        <v>62166864</v>
      </c>
      <c r="D19" s="30">
        <v>62166864</v>
      </c>
      <c r="E19" s="19"/>
      <c r="F19" s="1"/>
      <c r="G19" s="1"/>
      <c r="H19" s="1"/>
    </row>
    <row r="20" spans="2:8" x14ac:dyDescent="0.3">
      <c r="B20" s="19"/>
      <c r="C20" s="19"/>
      <c r="D20" s="19"/>
      <c r="E20" s="19"/>
      <c r="F20" s="1"/>
      <c r="G20" s="1"/>
      <c r="H20" s="1"/>
    </row>
    <row r="21" spans="2:8" x14ac:dyDescent="0.3">
      <c r="B21" s="14"/>
      <c r="C21" s="17"/>
      <c r="D21" s="36"/>
      <c r="E21" s="19"/>
      <c r="F21" s="1"/>
      <c r="G21" s="1"/>
      <c r="H21" s="1"/>
    </row>
    <row r="22" spans="2:8" x14ac:dyDescent="0.3">
      <c r="B22" s="15" t="s">
        <v>1</v>
      </c>
      <c r="C22" s="19">
        <v>98091</v>
      </c>
      <c r="D22" s="20"/>
      <c r="E22" s="19"/>
      <c r="F22" s="1"/>
      <c r="G22" s="1"/>
      <c r="H22" s="1"/>
    </row>
    <row r="23" spans="2:8" x14ac:dyDescent="0.3">
      <c r="B23" s="16" t="s">
        <v>2</v>
      </c>
      <c r="C23" s="22"/>
      <c r="D23" s="30">
        <v>98091</v>
      </c>
      <c r="E23" s="19"/>
      <c r="F23" s="1"/>
      <c r="G23" s="1"/>
      <c r="H23" s="1"/>
    </row>
    <row r="24" spans="2:8" x14ac:dyDescent="0.3">
      <c r="B24" s="1"/>
      <c r="C24" s="1"/>
      <c r="D24" s="1"/>
      <c r="E24" s="1"/>
      <c r="F24" s="1"/>
      <c r="G24" s="1"/>
      <c r="H24" s="1"/>
    </row>
    <row r="25" spans="2:8" x14ac:dyDescent="0.3">
      <c r="B25" s="1"/>
      <c r="C25" s="1"/>
      <c r="D25" s="1"/>
      <c r="E25" s="1"/>
      <c r="F25" s="1"/>
      <c r="G25" s="1"/>
      <c r="H25" s="1"/>
    </row>
    <row r="26" spans="2:8" x14ac:dyDescent="0.3">
      <c r="B26" s="14" t="s">
        <v>4</v>
      </c>
      <c r="C26" s="17">
        <v>3591156</v>
      </c>
      <c r="D26" s="36"/>
      <c r="E26" s="19">
        <v>1295143</v>
      </c>
      <c r="F26" s="1" t="s">
        <v>17</v>
      </c>
      <c r="G26" s="1"/>
      <c r="H26" s="1"/>
    </row>
    <row r="27" spans="2:8" x14ac:dyDescent="0.3">
      <c r="B27" s="15" t="s">
        <v>5</v>
      </c>
      <c r="C27" s="19"/>
      <c r="D27" s="20">
        <v>3591156</v>
      </c>
      <c r="E27" s="19">
        <v>-98091</v>
      </c>
      <c r="F27" s="1"/>
      <c r="G27" s="1"/>
      <c r="H27" s="1"/>
    </row>
    <row r="28" spans="2:8" x14ac:dyDescent="0.3">
      <c r="B28" s="16" t="s">
        <v>6</v>
      </c>
      <c r="C28" s="22"/>
      <c r="D28" s="30"/>
      <c r="E28" s="19">
        <v>1197052</v>
      </c>
      <c r="F28" s="1">
        <v>3591156</v>
      </c>
      <c r="G28" s="1" t="s">
        <v>23</v>
      </c>
      <c r="H28" s="1"/>
    </row>
    <row r="29" spans="2:8" x14ac:dyDescent="0.3">
      <c r="B29" s="19"/>
      <c r="C29" s="19"/>
      <c r="D29" s="19"/>
      <c r="E29" s="19"/>
      <c r="F29" s="1"/>
      <c r="G29" s="1"/>
      <c r="H29" s="1"/>
    </row>
    <row r="30" spans="2:8" x14ac:dyDescent="0.3">
      <c r="B30" s="1"/>
      <c r="C30" s="1"/>
      <c r="D30" s="1"/>
      <c r="E30" s="1"/>
      <c r="F30" s="1"/>
      <c r="G30" s="1"/>
      <c r="H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LEASING con 9995069</vt:lpstr>
      <vt:lpstr>Leasing cont 10000582</vt:lpstr>
      <vt:lpstr>Leasing cont 9998305</vt:lpstr>
      <vt:lpstr>Leasing cont 9992667</vt:lpstr>
      <vt:lpstr>Leasing cont 9985815</vt:lpstr>
      <vt:lpstr>Leasing 10014750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</dc:creator>
  <cp:lastModifiedBy>michelle palacios</cp:lastModifiedBy>
  <cp:lastPrinted>2025-07-04T20:15:20Z</cp:lastPrinted>
  <dcterms:created xsi:type="dcterms:W3CDTF">2025-04-08T02:36:56Z</dcterms:created>
  <dcterms:modified xsi:type="dcterms:W3CDTF">2026-04-06T17:02:51Z</dcterms:modified>
</cp:coreProperties>
</file>
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1. Contable Ecox SpA\Respaldos 2026\"/>
    </mc:Choice>
  </mc:AlternateContent>
  <xr:revisionPtr revIDLastSave="0" documentId="13_ncr:1_{81562CC4-8B3A-4DB1-85C7-39F6EED3CE8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2" sheetId="4" r:id="rId1"/>
    <sheet name="MOVIMIENTOS" sheetId="1" r:id="rId2"/>
    <sheet name="CATEGORIAS" sheetId="2" r:id="rId3"/>
  </sheets>
  <definedNames>
    <definedName name="_xlnm._FilterDatabase" localSheetId="1" hidden="1">MOVIMIENTOS!$A$1:$H$344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175" i="1" l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</calcChain>
</file>

<file path=xl/sharedStrings.xml><?xml version="1.0" encoding="utf-8"?>
<sst xmlns="http://schemas.openxmlformats.org/spreadsheetml/2006/main" count="165" uniqueCount="65">
  <si>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</si>
  <si>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</si>
  <si>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</si>
  <si>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</si>
  <si>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</si>
  <si>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</si>
  <si>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</si>
  <si>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</si>
  <si>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</si>
  <si>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</si>
  <si>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</si>
  <si>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</si>
  <si>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</si>
  <si>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</si>
  <si>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</si>
  <si>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</si>
  <si>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</si>
  <si>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</si>
  <si>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</si>
  <si>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</si>
  <si>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</si>
  <si>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</si>
  <si>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</si>
  <si>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</si>
  <si>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</si>
  <si>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</si>
  <si>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</si>
  <si>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</si>
  <si>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</si>
  <si>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</si>
  <si>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</si>
  <si>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</si>
  <si>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</si>
  <si>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</si>
  <si>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</si>
  <si>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Row Labels</t>
  </si>
  <si>
    <t>(blank)</t>
  </si>
  <si>
    <t>Grand Total</t>
  </si>
  <si>
    <t>Sum of GIROS</t>
  </si>
  <si>
    <t>Intereses Línea de Crédito</t>
  </si>
  <si>
    <t>Impuesto Sobregiro / Uso LCA</t>
  </si>
  <si>
    <t>Compra GOOGLE *Workspace</t>
  </si>
  <si>
    <t>COM.MANTENCION PLAN</t>
  </si>
  <si>
    <t>0136630342 Transf. DENISSE ELIZABETH MARTEL JORQUERA</t>
  </si>
  <si>
    <t>0136630342 Transf. DENISSE ELIZABETH MARTEL MARTEL</t>
  </si>
  <si>
    <t>Mandato con Aysen SpA. Corresponde a parcela O-3 de Aysen SpA</t>
  </si>
  <si>
    <t>0774433864 Transf a INVERSIONES AYSEN S</t>
  </si>
  <si>
    <t>Traspaso con la Cuenta N° 002002707899</t>
  </si>
  <si>
    <t>Rescate Fondos Mutuos</t>
  </si>
  <si>
    <t>Amortización Periódica LCA N° 002002707899</t>
  </si>
  <si>
    <t>Compra GODADDY.COM GODAD</t>
  </si>
  <si>
    <t>PAGO EN LINEA SERVIPAG</t>
  </si>
  <si>
    <t>77.443.386-4 Transf. INVERSION</t>
  </si>
  <si>
    <t>PAGO EN LINEA T.G.R.</t>
  </si>
  <si>
    <t>0774601414 Transf de FUTRONO SPA</t>
  </si>
  <si>
    <t>0777140248 Transf a ASESORÍAS ECOX LIMI</t>
  </si>
  <si>
    <t>Inversión en Fondo Mutuo</t>
  </si>
  <si>
    <t>PAGO EN LINEA ENTEL PCS</t>
  </si>
  <si>
    <t>ingreso por parcela O3 Futrono</t>
  </si>
  <si>
    <t>Contribuciones</t>
  </si>
  <si>
    <t>Dividendo 7</t>
  </si>
  <si>
    <t>DIVIDENDO PERCIBIDO</t>
  </si>
  <si>
    <t>PAGO EN LINEA S.I.I.</t>
  </si>
  <si>
    <t>0608050000 DEV IMPUESTO TESORERIA G</t>
  </si>
  <si>
    <t>Venta cuota parcela 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</si>
</sst>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409]dd\-mmm\-yy;@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Rubik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164" fontId="0" fillId="0" borderId="0" xfId="1" applyNumberFormat="1" applyFont="1"/>
    <xf numFmtId="165" fontId="0" fillId="0" borderId="0" xfId="0" applyNumberFormat="1"/>
    <xf numFmtId="165" fontId="4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9">
    <dxf>
      <fill>
        <patternFill>
          <bgColor theme="7" tint="0.39994506668294322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numFmt numFmtId="165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4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" refreshedDate="45908.733974305556" createdVersion="8" refreshedVersion="8" minRefreshableVersion="3" recordCount="155" xr:uid="{97315FB7-5CD3-4215-9DFD-1AF231A009CD}">
  <cacheSource type="worksheet">
    <worksheetSource name="Table3"/>
  </cacheSource>
  <cacheFields count="8">
    <cacheField name="FECHA" numFmtId="165">
      <sharedItems containsNonDate="0" containsDate="1" containsString="0" containsBlank="1" minDate="2025-01-01T00:00:00" maxDate="2025-09-02T00:00:00"/>
    </cacheField>
    <cacheField name="DETALLE" numFmtId="0">
      <sharedItems containsBlank="1"/>
    </cacheField>
    <cacheField name="CATEGORIA" numFmtId="0">
      <sharedItems containsBlank="1" count="10">
        <m/>
        <s v="MANDATO"/>
        <s v="GASTOS GENERALES"/>
        <s v="PRESTAMO"/>
        <s v="CUENTA CORRIENTE MERCANTIL"/>
        <s v="VENTA"/>
        <s v="FONDOS MUTUOS"/>
        <s v="RETIRO"/>
        <s v="LINEA DE CREDITO"/>
        <s v="IMPUESTOS"/>
      </sharedItems>
    </cacheField>
    <cacheField name="SUB" numFmtId="0">
      <sharedItems containsBlank="1" count="6">
        <m/>
        <s v="CERRO COLORADO"/>
        <s v="FHB"/>
        <s v="PLS"/>
        <s v="ASESORIAS ECOX"/>
        <s v="TREGUALEMU"/>
      </sharedItems>
    </cacheField>
    <cacheField name="SALDO" numFmtId="164">
      <sharedItems containsSemiMixedTypes="0" containsString="0" containsNumber="1" containsInteger="1" minValue="-13755" maxValue="39577704"/>
    </cacheField>
    <cacheField name="DEPOSITO" numFmtId="164">
      <sharedItems containsString="0" containsBlank="1" containsNumber="1" containsInteger="1" minValue="13755" maxValue="24000000"/>
    </cacheField>
    <cacheField name="GIROS" numFmtId="164">
      <sharedItems containsString="0" containsBlank="1" containsNumber="1" containsInteger="1" minValue="-39137836" maxValue="-4100"/>
    </cacheField>
    <cacheField name="COMENT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d v="2025-01-01T00:00:00"/>
    <s v="SALDO ANTERIOR"/>
    <x v="0"/>
    <x v="0"/>
    <n v="12587335"/>
    <m/>
    <m/>
    <m/>
  </r>
  <r>
    <d v="2025-01-02T00:00:00"/>
    <s v="0795464301 PAGO PROVEEDOR SOCIEDAD CO"/>
    <x v="1"/>
    <x v="1"/>
    <n v="12587335"/>
    <n v="11597900"/>
    <m/>
    <m/>
  </r>
  <r>
    <d v="2025-01-02T00:00:00"/>
    <s v="Compra GOOGLE *GSUITE_el"/>
    <x v="2"/>
    <x v="0"/>
    <n v="24185235"/>
    <m/>
    <n v="-26222"/>
    <m/>
  </r>
  <r>
    <d v="2025-01-03T00:00:00"/>
    <s v="0795464301 Transf. SOCIEDAD COMERCIALIZADORA Y DE SERVICIOS MACAL LIM"/>
    <x v="1"/>
    <x v="1"/>
    <n v="24159013"/>
    <n v="4262000"/>
    <m/>
    <m/>
  </r>
  <r>
    <d v="2025-01-03T00:00:00"/>
    <s v="0763699560 Transf a Inversiones Blackzar Limitada"/>
    <x v="2"/>
    <x v="0"/>
    <n v="28421013"/>
    <m/>
    <n v="-1075875"/>
    <s v="Arriendo oficina"/>
  </r>
  <r>
    <d v="2025-01-03T00:00:00"/>
    <s v="0778050773 Transf a CERRO COLORADO SPA"/>
    <x v="1"/>
    <x v="1"/>
    <n v="27345138"/>
    <m/>
    <n v="-11597900"/>
    <m/>
  </r>
  <r>
    <d v="2025-01-03T00:00:00"/>
    <s v="0778050773 Transf a CERRO COLORADO SPA"/>
    <x v="1"/>
    <x v="1"/>
    <n v="15747238"/>
    <m/>
    <n v="-4262000"/>
    <m/>
  </r>
  <r>
    <d v="2025-01-03T00:00:00"/>
    <s v="0156407445 Transf a Felipe Hiriart"/>
    <x v="3"/>
    <x v="2"/>
    <n v="11485238"/>
    <m/>
    <n v="-1090000"/>
    <s v="Mandato Ecox LLC Credito consumo FHB"/>
  </r>
  <r>
    <d v="2025-01-03T00:00:00"/>
    <s v="0163673002 Transf a Pedro Lecaros"/>
    <x v="3"/>
    <x v="3"/>
    <n v="10395238"/>
    <m/>
    <n v="-1062000"/>
    <s v="Mandato Ecox LLC Credito consumo PLS"/>
  </r>
  <r>
    <d v="2025-01-03T00:00:00"/>
    <s v="0777140248 Transf de ASESOR AS ECOX LIMI"/>
    <x v="4"/>
    <x v="4"/>
    <n v="9333238"/>
    <n v="3000000"/>
    <m/>
    <m/>
  </r>
  <r>
    <d v="2025-01-03T00:00:00"/>
    <s v="0772132840 Transf a TREGUALEMU SPA"/>
    <x v="3"/>
    <x v="5"/>
    <n v="12333238"/>
    <m/>
    <n v="-12000000"/>
    <m/>
  </r>
  <r>
    <d v="2025-01-07T00:00:00"/>
    <s v="PAGO EN LINEA S.I.I."/>
    <x v="2"/>
    <x v="0"/>
    <n v="333238"/>
    <m/>
    <n v="-28996"/>
    <m/>
  </r>
  <r>
    <d v="2025-01-07T00:00:00"/>
    <s v="0777140248 Transf a ASESORÍAS ECOX LIMI"/>
    <x v="2"/>
    <x v="0"/>
    <n v="304242"/>
    <m/>
    <n v="-100000"/>
    <s v="Servicio contable"/>
  </r>
  <r>
    <d v="2025-01-08T00:00:00"/>
    <s v="0777140248 Transf a ASESORÍAS ECOX LIMI"/>
    <x v="4"/>
    <x v="0"/>
    <n v="204242"/>
    <m/>
    <n v="-150000"/>
    <m/>
  </r>
  <r>
    <d v="2025-01-08T00:00:00"/>
    <s v="0795464301 PAGO PROVEEDOR SOCIEDAD CO"/>
    <x v="1"/>
    <x v="1"/>
    <n v="54242"/>
    <n v="8964500"/>
    <m/>
    <m/>
  </r>
  <r>
    <d v="2025-01-10T00:00:00"/>
    <s v="0778050773 Transf a CERRO COLORADO SPA"/>
    <x v="1"/>
    <x v="1"/>
    <n v="9018742"/>
    <m/>
    <n v="-8964500"/>
    <m/>
  </r>
  <r>
    <d v="2025-01-10T00:00:00"/>
    <s v="Pago Automático T. de Crédito"/>
    <x v="2"/>
    <x v="0"/>
    <n v="54242"/>
    <m/>
    <n v="-15546"/>
    <m/>
  </r>
  <r>
    <d v="2025-01-17T00:00:00"/>
    <s v="0795464301 Transf. SOCIEDAD COMERCIALIZADORA Y DE SERVICIOS MACAL LIM"/>
    <x v="1"/>
    <x v="1"/>
    <n v="38696"/>
    <n v="5390600"/>
    <m/>
    <m/>
  </r>
  <r>
    <d v="2025-01-17T00:00:00"/>
    <s v="0778050773 Transf a CERRO COLORADO SPA"/>
    <x v="1"/>
    <x v="1"/>
    <n v="5429296"/>
    <m/>
    <n v="-5390600"/>
    <m/>
  </r>
  <r>
    <d v="2025-01-21T00:00:00"/>
    <s v="0795464301 Transf. SOCIEDAD COMERCIALIZADORA Y DE SERVICIOS MACAL LIM"/>
    <x v="1"/>
    <x v="1"/>
    <n v="38696"/>
    <n v="3791750"/>
    <m/>
    <m/>
  </r>
  <r>
    <d v="2025-01-21T00:00:00"/>
    <s v="0778050773 Transf a CERRO COLORADO SPA"/>
    <x v="1"/>
    <x v="1"/>
    <n v="3830446"/>
    <m/>
    <n v="-3791750"/>
    <m/>
  </r>
  <r>
    <d v="2025-01-29T00:00:00"/>
    <s v="COM.MANTENCION PLAN"/>
    <x v="2"/>
    <x v="0"/>
    <n v="38696"/>
    <m/>
    <n v="-38030"/>
    <m/>
  </r>
  <r>
    <d v="2025-02-03T00:00:00"/>
    <s v="0777140248 Transf de ASESOR AS ECOX LIMI"/>
    <x v="4"/>
    <x v="0"/>
    <n v="666"/>
    <n v="1600000"/>
    <m/>
    <m/>
  </r>
  <r>
    <d v="2025-02-03T00:00:00"/>
    <s v="0156407445 Transf a Felipe Hiriart"/>
    <x v="3"/>
    <x v="2"/>
    <n v="1600666"/>
    <m/>
    <n v="-805000"/>
    <s v="Mandato Ecox LLC Credito consumo FHB"/>
  </r>
  <r>
    <d v="2025-02-03T00:00:00"/>
    <s v="0163673002 Transf a Pedro Lecaros"/>
    <x v="3"/>
    <x v="3"/>
    <n v="795666"/>
    <m/>
    <n v="-770000"/>
    <s v="Mandato Ecox LLC Credito consumo PLS"/>
  </r>
  <r>
    <d v="2025-02-03T00:00:00"/>
    <s v="Compra GOOGLE *GSUITE_el"/>
    <x v="2"/>
    <x v="0"/>
    <n v="25666"/>
    <m/>
    <n v="-28614"/>
    <m/>
  </r>
  <r>
    <d v="2025-02-03T00:00:00"/>
    <s v="0777140248 Transf de ASESORÍAS ECOX LIMI"/>
    <x v="4"/>
    <x v="0"/>
    <n v="-2948"/>
    <n v="1100000"/>
    <m/>
    <m/>
  </r>
  <r>
    <d v="2025-02-03T00:00:00"/>
    <s v="0763699560 Transf a Inversiones Blackzar Limitada"/>
    <x v="2"/>
    <x v="0"/>
    <n v="1097052"/>
    <m/>
    <n v="-1074555"/>
    <s v="Arriendo oficina"/>
  </r>
  <r>
    <d v="2025-02-10T00:00:00"/>
    <s v="Pago Automático T. de Crédito"/>
    <x v="2"/>
    <x v="0"/>
    <n v="22497"/>
    <m/>
    <n v="-15781"/>
    <m/>
  </r>
  <r>
    <d v="2025-02-14T00:00:00"/>
    <s v="0795464301 Transf. SOCIEDAD COMERCIALIZADORA Y DE SERVICIOS MACAL LIM"/>
    <x v="1"/>
    <x v="1"/>
    <n v="6716"/>
    <n v="3321500"/>
    <m/>
    <s v="0 Parkway Court, Horseshoe Bend"/>
  </r>
  <r>
    <d v="2025-02-14T00:00:00"/>
    <s v="0795464301 PAGO PROVEEDOR SOCIEDAD CO"/>
    <x v="5"/>
    <x v="0"/>
    <n v="3328216"/>
    <n v="7459591"/>
    <m/>
    <s v="El Tique, Parcela 1,"/>
  </r>
  <r>
    <d v="2025-02-17T00:00:00"/>
    <s v="0777140248 Transf a ASESORÍAS ECOX LIMI"/>
    <x v="2"/>
    <x v="0"/>
    <n v="10787807"/>
    <m/>
    <n v="-100000"/>
    <s v="Servicio contable"/>
  </r>
  <r>
    <d v="2025-02-18T00:00:00"/>
    <s v="0778050773 Transf a CERRO COLORADO SPA"/>
    <x v="1"/>
    <x v="1"/>
    <n v="10687807"/>
    <m/>
    <n v="-3321500"/>
    <s v="0 Parkway Court, Horseshoe Bend"/>
  </r>
  <r>
    <d v="2025-02-18T00:00:00"/>
    <s v="Inversión en Fondo Mutuo"/>
    <x v="6"/>
    <x v="0"/>
    <n v="7366307"/>
    <m/>
    <n v="-6500000"/>
    <m/>
  </r>
  <r>
    <d v="2025-02-26T00:00:00"/>
    <s v="COM.MANTENCION PLAN"/>
    <x v="2"/>
    <x v="0"/>
    <n v="866307"/>
    <m/>
    <n v="-38001"/>
    <m/>
  </r>
  <r>
    <d v="2025-03-03T00:00:00"/>
    <s v="Compra GOOGLE *GSUITE_el"/>
    <x v="2"/>
    <x v="0"/>
    <n v="828306"/>
    <m/>
    <n v="-33705"/>
    <m/>
  </r>
  <r>
    <d v="2025-03-04T00:00:00"/>
    <s v="Rescate Fondos Mutuos"/>
    <x v="6"/>
    <x v="0"/>
    <n v="794601"/>
    <n v="17000000"/>
    <m/>
    <m/>
  </r>
  <r>
    <d v="2025-03-04T00:00:00"/>
    <s v="0156407445 Transf a Felipe Hiriart"/>
    <x v="3"/>
    <x v="2"/>
    <n v="17794601"/>
    <m/>
    <n v="-806000"/>
    <m/>
  </r>
  <r>
    <d v="2025-03-04T00:00:00"/>
    <s v="0163673002 Transf a Pedro Lecaros"/>
    <x v="3"/>
    <x v="3"/>
    <n v="16988601"/>
    <m/>
    <n v="-770000"/>
    <m/>
  </r>
  <r>
    <d v="2025-03-04T00:00:00"/>
    <s v="0777140248 Transf a ASESORÍAS ECOX LIMI"/>
    <x v="4"/>
    <x v="4"/>
    <n v="16218601"/>
    <m/>
    <n v="-12000000"/>
    <m/>
  </r>
  <r>
    <d v="2025-03-04T00:00:00"/>
    <s v="0763699560 Transf a Inversiones Blackzar Limitada"/>
    <x v="2"/>
    <x v="0"/>
    <n v="4218601"/>
    <m/>
    <n v="-1083834"/>
    <s v="Arriendo oficina"/>
  </r>
  <r>
    <d v="2025-03-04T00:00:00"/>
    <s v="0777140248 Transf a ASESORÍAS ECOX LIMI"/>
    <x v="2"/>
    <x v="0"/>
    <n v="3134767"/>
    <m/>
    <n v="-100000"/>
    <s v="Servicio contable"/>
  </r>
  <r>
    <d v="2025-03-04T00:00:00"/>
    <s v="0777140248 Transf a ASESORÍAS ECOX LIMI"/>
    <x v="4"/>
    <x v="4"/>
    <n v="3034767"/>
    <m/>
    <n v="-1600000"/>
    <m/>
  </r>
  <r>
    <d v="2025-03-10T00:00:00"/>
    <s v="Pago Automático T. de Crédito"/>
    <x v="2"/>
    <x v="0"/>
    <n v="1434767"/>
    <m/>
    <n v="-15400"/>
    <m/>
  </r>
  <r>
    <d v="2025-03-14T00:00:00"/>
    <s v="PAGO EN LINEA S.I.I."/>
    <x v="2"/>
    <x v="0"/>
    <n v="1419367"/>
    <m/>
    <n v="-9324"/>
    <m/>
  </r>
  <r>
    <d v="2025-03-27T00:00:00"/>
    <s v="COM.MANTENCION PLAN"/>
    <x v="2"/>
    <x v="0"/>
    <n v="1410043"/>
    <m/>
    <n v="-38261"/>
    <m/>
  </r>
  <r>
    <d v="2025-04-01T00:00:00"/>
    <s v="0777140248 Transf de ASESOR AS ECOX LIMI"/>
    <x v="4"/>
    <x v="4"/>
    <n v="1371782"/>
    <n v="1000000"/>
    <m/>
    <m/>
  </r>
  <r>
    <d v="2025-04-01T00:00:00"/>
    <s v="0163673002 Transf a Pedro Lecaros"/>
    <x v="7"/>
    <x v="3"/>
    <n v="2371782"/>
    <m/>
    <n v="-770000"/>
    <m/>
  </r>
  <r>
    <d v="2025-04-01T00:00:00"/>
    <s v="0156407445 Transf a Felipe Hiriart"/>
    <x v="7"/>
    <x v="2"/>
    <n v="1601782"/>
    <m/>
    <n v="-806000"/>
    <m/>
  </r>
  <r>
    <d v="2025-04-01T00:00:00"/>
    <s v="0777140248 Transf a ASESORÍAS ECOX LIMI"/>
    <x v="2"/>
    <x v="0"/>
    <n v="795782"/>
    <m/>
    <n v="-100000"/>
    <s v="Servicio contable"/>
  </r>
  <r>
    <d v="2025-04-01T00:00:00"/>
    <s v="Compra GOOGLE *GSUITE_el"/>
    <x v="2"/>
    <x v="0"/>
    <n v="695782"/>
    <m/>
    <n v="-33396"/>
    <m/>
  </r>
  <r>
    <d v="2025-04-02T00:00:00"/>
    <s v="Rescate Fondos Mutuos"/>
    <x v="6"/>
    <x v="0"/>
    <n v="662386"/>
    <n v="1186786"/>
    <m/>
    <m/>
  </r>
  <r>
    <d v="2025-04-02T00:00:00"/>
    <s v="Compra GODADDY.COM GODAD"/>
    <x v="2"/>
    <x v="0"/>
    <n v="1849172"/>
    <m/>
    <n v="-74999"/>
    <m/>
  </r>
  <r>
    <d v="2025-04-02T00:00:00"/>
    <s v="0777140248 Transf de ASESOR AS ECOX LIMI"/>
    <x v="4"/>
    <x v="4"/>
    <n v="1774173"/>
    <n v="24000000"/>
    <m/>
    <m/>
  </r>
  <r>
    <d v="2025-04-02T00:00:00"/>
    <s v="0163673002 Transf a Pedro Lecaros"/>
    <x v="7"/>
    <x v="3"/>
    <n v="25774173"/>
    <m/>
    <n v="-6500000"/>
    <m/>
  </r>
  <r>
    <d v="2025-04-02T00:00:00"/>
    <s v="0156407445 Transf a Felipe Hiriart"/>
    <x v="7"/>
    <x v="2"/>
    <n v="19274173"/>
    <m/>
    <n v="-6500000"/>
    <m/>
  </r>
  <r>
    <d v="2025-04-02T00:00:00"/>
    <s v="0772132840 Transf a TREGUALEMU SPA"/>
    <x v="3"/>
    <x v="5"/>
    <n v="12774173"/>
    <m/>
    <n v="-12000000"/>
    <m/>
  </r>
  <r>
    <d v="2025-04-08T00:00:00"/>
    <s v="0795464301 PAGO PROVEEDOR SOCIEDAD CO"/>
    <x v="5"/>
    <x v="0"/>
    <n v="774173"/>
    <n v="10066639"/>
    <m/>
    <s v="La reforma parcela 18"/>
  </r>
  <r>
    <d v="2025-04-09T00:00:00"/>
    <s v="Inversión en Fondo Mutuo"/>
    <x v="6"/>
    <x v="0"/>
    <n v="10840812"/>
    <m/>
    <n v="-8000000"/>
    <m/>
  </r>
  <r>
    <d v="2025-04-10T00:00:00"/>
    <s v="Pago Automático T. de Crédito"/>
    <x v="2"/>
    <x v="0"/>
    <n v="2840812"/>
    <m/>
    <n v="-15389"/>
    <m/>
  </r>
  <r>
    <d v="2025-04-11T00:00:00"/>
    <s v="Compra MERCADOPAGO *MARL"/>
    <x v="2"/>
    <x v="0"/>
    <n v="2825423"/>
    <m/>
    <n v="-87786"/>
    <m/>
  </r>
  <r>
    <d v="2025-04-16T00:00:00"/>
    <s v="0795464301 Transf. SOCIEDAD COMERCIALIZADORA Y DE SERVICIOS MACAL LIM"/>
    <x v="1"/>
    <x v="1"/>
    <n v="2737637"/>
    <n v="4262000"/>
    <m/>
    <s v="Orchard court, Arkansas"/>
  </r>
  <r>
    <d v="2025-04-16T00:00:00"/>
    <s v="0778050773 Transf a CERRO COLORADO SPA"/>
    <x v="1"/>
    <x v="1"/>
    <n v="6999637"/>
    <m/>
    <n v="-4262000"/>
    <s v="Orchard court, Arkansas"/>
  </r>
  <r>
    <d v="2025-04-16T00:00:00"/>
    <s v="Inversión en Fondo Mutuo"/>
    <x v="6"/>
    <x v="0"/>
    <n v="2737637"/>
    <m/>
    <n v="-2100000"/>
    <m/>
  </r>
  <r>
    <d v="2025-04-21T00:00:00"/>
    <s v="0795464301 Transf. SOCIEDAD COMERCIALIZADORA Y DE SERVICIOS MACAL LIM"/>
    <x v="1"/>
    <x v="1"/>
    <n v="637637"/>
    <n v="5108450"/>
    <m/>
    <s v="Kitty Ave"/>
  </r>
  <r>
    <d v="2025-04-22T00:00:00"/>
    <s v="0778050773 Transf a CERRO COLORADO SPA"/>
    <x v="1"/>
    <x v="1"/>
    <n v="5746087"/>
    <m/>
    <n v="-5108450"/>
    <s v="Kitty Ave"/>
  </r>
  <r>
    <d v="2025-04-24T00:00:00"/>
    <s v="0777140248 Transf a ASESORÍAS ECOX LIMI"/>
    <x v="4"/>
    <x v="4"/>
    <n v="637637"/>
    <m/>
    <n v="-200000"/>
    <m/>
  </r>
  <r>
    <d v="2025-04-25T00:00:00"/>
    <s v="Rescate Fondos Mutuos"/>
    <x v="6"/>
    <x v="0"/>
    <n v="437637"/>
    <n v="3000000"/>
    <m/>
    <m/>
  </r>
  <r>
    <d v="2025-04-25T00:00:00"/>
    <s v="0772132840 Transf a TREGUALEMU SPA"/>
    <x v="3"/>
    <x v="5"/>
    <n v="3437637"/>
    <m/>
    <n v="-3000000"/>
    <m/>
  </r>
  <r>
    <d v="2025-04-28T00:00:00"/>
    <s v="COM.MANTENCION PLAN"/>
    <x v="2"/>
    <x v="0"/>
    <n v="437637"/>
    <m/>
    <n v="-38505"/>
    <m/>
  </r>
  <r>
    <d v="2025-05-02T00:00:00"/>
    <s v="Compra GOOGLE *GSUITE_el"/>
    <x v="2"/>
    <x v="0"/>
    <n v="399132"/>
    <m/>
    <n v="-33265"/>
    <m/>
  </r>
  <r>
    <d v="2025-05-05T00:00:00"/>
    <s v="Rescate Fondos Mutuos"/>
    <x v="6"/>
    <x v="0"/>
    <n v="365867"/>
    <n v="7132851"/>
    <m/>
    <m/>
  </r>
  <r>
    <d v="2025-05-05T00:00:00"/>
    <s v="0777140248 Transf de ASESOR AS ECOX LIMI"/>
    <x v="4"/>
    <x v="4"/>
    <n v="7498718"/>
    <n v="6600000"/>
    <m/>
    <m/>
  </r>
  <r>
    <d v="2025-05-05T00:00:00"/>
    <s v="0772132840 Transf a TREGUALEMU SPA"/>
    <x v="3"/>
    <x v="5"/>
    <n v="14098718"/>
    <m/>
    <n v="-14000000"/>
    <m/>
  </r>
  <r>
    <d v="2025-05-13T00:00:00"/>
    <s v="PAGO EN LINEA S.I.I."/>
    <x v="2"/>
    <x v="0"/>
    <n v="98718"/>
    <m/>
    <n v="-12583"/>
    <m/>
  </r>
  <r>
    <d v="2025-05-14T00:00:00"/>
    <s v="0795464301 PAGO PROVEEDOR SOCIEDAD CO"/>
    <x v="5"/>
    <x v="0"/>
    <n v="86135"/>
    <n v="9384992"/>
    <m/>
    <s v="El Tique, Parcela 3 "/>
  </r>
  <r>
    <d v="2025-05-14T00:00:00"/>
    <s v="Inversión en Fondo Mutuo"/>
    <x v="6"/>
    <x v="0"/>
    <n v="9471127"/>
    <m/>
    <n v="-9300000"/>
    <m/>
  </r>
  <r>
    <d v="2025-05-20T00:00:00"/>
    <s v="0795464301 PAGO PROVEEDOR SOCIEDAD CO"/>
    <x v="1"/>
    <x v="1"/>
    <n v="171127"/>
    <n v="10751450"/>
    <m/>
    <m/>
  </r>
  <r>
    <d v="2025-05-20T00:00:00"/>
    <s v="0778050773 Transf a CERRO COLORADO SPA"/>
    <x v="1"/>
    <x v="1"/>
    <n v="10922577"/>
    <m/>
    <n v="-10751450"/>
    <m/>
  </r>
  <r>
    <d v="2025-05-28T00:00:00"/>
    <s v="COM.MANTENCION PLAN"/>
    <x v="2"/>
    <x v="0"/>
    <n v="171127"/>
    <m/>
    <n v="-38685"/>
    <m/>
  </r>
  <r>
    <d v="2025-06-02T00:00:00"/>
    <s v="Compra Google GSUITE_elm"/>
    <x v="2"/>
    <x v="0"/>
    <n v="132442"/>
    <m/>
    <n v="-33197"/>
    <m/>
  </r>
  <r>
    <d v="2025-06-02T00:00:00"/>
    <s v="0777140248 Transf de ASESOR AS ECOX LIMI"/>
    <x v="4"/>
    <x v="0"/>
    <n v="99245"/>
    <n v="2000000"/>
    <m/>
    <m/>
  </r>
  <r>
    <d v="2025-06-02T00:00:00"/>
    <s v="0772132840 Transf a TREGUALEMU SPA"/>
    <x v="3"/>
    <x v="5"/>
    <n v="2099245"/>
    <m/>
    <n v="-2000000"/>
    <m/>
  </r>
  <r>
    <d v="2025-06-02T00:00:00"/>
    <s v="0777140248 Transf de ASESOR AS ECOX LIMI"/>
    <x v="4"/>
    <x v="0"/>
    <n v="99245"/>
    <n v="5000000"/>
    <m/>
    <s v="cuenta corriente mercantil"/>
  </r>
  <r>
    <d v="2025-06-03T00:00:00"/>
    <s v="Rescate Fondos Mutuos"/>
    <x v="6"/>
    <x v="0"/>
    <n v="5099245"/>
    <n v="7000000"/>
    <m/>
    <m/>
  </r>
  <r>
    <d v="2025-06-03T00:00:00"/>
    <s v="0772132840 Transf a TREGUALEMU SPA"/>
    <x v="3"/>
    <x v="5"/>
    <n v="12099245"/>
    <m/>
    <n v="-12000000"/>
    <m/>
  </r>
  <r>
    <d v="2025-06-10T00:00:00"/>
    <s v="0777140248 Transf a ASESORÍAS ECOX LIMI"/>
    <x v="4"/>
    <x v="0"/>
    <n v="99245"/>
    <m/>
    <n v="-113000"/>
    <s v="cuenta corriente mercantil"/>
  </r>
  <r>
    <d v="2025-06-10T00:00:00"/>
    <s v="Traspaso con la Cuenta N° 002002707899"/>
    <x v="8"/>
    <x v="0"/>
    <n v="-13755"/>
    <n v="13755"/>
    <m/>
    <m/>
  </r>
  <r>
    <d v="2025-06-10T00:00:00"/>
    <s v="0777140248 Transf de ASESOR AS ECOX LIMI"/>
    <x v="4"/>
    <x v="0"/>
    <n v="0"/>
    <n v="30000"/>
    <m/>
    <s v="cuenta corriente mercantil"/>
  </r>
  <r>
    <d v="2025-06-10T00:00:00"/>
    <s v="0771605729 Transf a ECOX SPA"/>
    <x v="4"/>
    <x v="0"/>
    <n v="30000"/>
    <m/>
    <n v="-13755"/>
    <s v="cuenta corriente mercantil"/>
  </r>
  <r>
    <d v="2025-06-10T00:00:00"/>
    <s v="PAGO EN LINEA S.I.I."/>
    <x v="9"/>
    <x v="0"/>
    <n v="16245"/>
    <m/>
    <n v="-11731"/>
    <m/>
  </r>
  <r>
    <d v="2025-06-13T00:00:00"/>
    <s v="Rescate Fondos Mutuos"/>
    <x v="6"/>
    <x v="0"/>
    <n v="4514"/>
    <n v="2321861"/>
    <m/>
    <m/>
  </r>
  <r>
    <d v="2025-06-17T00:00:00"/>
    <s v="0777140248 Transf de ASESOR AS ECOX LIMI"/>
    <x v="4"/>
    <x v="0"/>
    <n v="2326375"/>
    <n v="17000000"/>
    <m/>
    <s v="cuenta corriente mercantil"/>
  </r>
  <r>
    <d v="2025-06-17T00:00:00"/>
    <s v="0772132840 Transf a TREGUALEMU SPA"/>
    <x v="3"/>
    <x v="5"/>
    <n v="19326375"/>
    <m/>
    <n v="-17000000"/>
    <s v="Paga prestamo Tregualemu"/>
  </r>
  <r>
    <d v="2025-06-17T00:00:00"/>
    <s v="0777140248 Transf a ASESORÍAS ECOX LIMI"/>
    <x v="4"/>
    <x v="0"/>
    <n v="2326375"/>
    <m/>
    <n v="-2100000"/>
    <s v="cuenta corriente mercantil"/>
  </r>
  <r>
    <d v="2025-06-26T00:00:00"/>
    <s v="COM.MANTENCION PLAN"/>
    <x v="2"/>
    <x v="0"/>
    <n v="226375"/>
    <m/>
    <n v="-38795"/>
    <m/>
  </r>
  <r>
    <d v="2025-07-01T00:00:00"/>
    <s v="Compra GOOGLE *GSUITE_el"/>
    <x v="2"/>
    <x v="0"/>
    <n v="187580"/>
    <m/>
    <n v="-32694"/>
    <m/>
  </r>
  <r>
    <d v="2025-07-01T00:00:00"/>
    <s v="0777140248 Transf de ASESOR AS ECOX LIMI"/>
    <x v="4"/>
    <x v="0"/>
    <n v="154886"/>
    <n v="7000000"/>
    <m/>
    <m/>
  </r>
  <r>
    <d v="2025-07-01T00:00:00"/>
    <s v="0772132840 Transf a TREGUALEMU SPA"/>
    <x v="3"/>
    <x v="5"/>
    <n v="7154886"/>
    <m/>
    <n v="-7000000"/>
    <m/>
  </r>
  <r>
    <d v="2025-07-02T00:00:00"/>
    <s v="0777140248 Transf de ASESOR AS ECOX LIMI"/>
    <x v="4"/>
    <x v="0"/>
    <n v="154886"/>
    <n v="5000000"/>
    <m/>
    <m/>
  </r>
  <r>
    <d v="2025-07-02T00:00:00"/>
    <s v="0772132840 Transf a TREGUALEMU SPA"/>
    <x v="3"/>
    <x v="5"/>
    <n v="5154886"/>
    <m/>
    <n v="-5000000"/>
    <m/>
  </r>
  <r>
    <d v="2025-07-28T00:00:00"/>
    <s v="0156407445 Transf de FELIPE ANDRES HIRIA"/>
    <x v="3"/>
    <x v="2"/>
    <n v="154886"/>
    <n v="5000000"/>
    <m/>
    <m/>
  </r>
  <r>
    <d v="2025-07-28T00:00:00"/>
    <s v="0156407445 Transf de FELIPE ANDRES HIRIA"/>
    <x v="3"/>
    <x v="2"/>
    <n v="5154886"/>
    <n v="5000000"/>
    <m/>
    <m/>
  </r>
  <r>
    <d v="2025-07-28T00:00:00"/>
    <s v="0156407445 Transf de FELIPE ANDRES HIRIA"/>
    <x v="3"/>
    <x v="2"/>
    <n v="10154886"/>
    <n v="5000000"/>
    <m/>
    <m/>
  </r>
  <r>
    <d v="2025-07-29T00:00:00"/>
    <s v="0156407445 Transf de FELIPE ANDRES HIRIA"/>
    <x v="3"/>
    <x v="2"/>
    <n v="15154886"/>
    <n v="5000000"/>
    <m/>
    <m/>
  </r>
  <r>
    <d v="2025-07-29T00:00:00"/>
    <s v="0163673002 Transf de PEDRO JOSE LECAROS"/>
    <x v="3"/>
    <x v="3"/>
    <n v="20154886"/>
    <n v="5000000"/>
    <m/>
    <m/>
  </r>
  <r>
    <d v="2025-07-30T00:00:00"/>
    <s v="0777140248 Transf a ASESORÍAS ECOX LIMI"/>
    <x v="4"/>
    <x v="0"/>
    <n v="25154886"/>
    <m/>
    <n v="-1000000"/>
    <m/>
  </r>
  <r>
    <d v="2025-07-29T00:00:00"/>
    <s v="COM.MANTENCION PLAN"/>
    <x v="2"/>
    <x v="0"/>
    <n v="24154886"/>
    <m/>
    <n v="-38874"/>
    <m/>
  </r>
  <r>
    <d v="2025-07-30T00:00:00"/>
    <s v="0163673002 Transf de PEDRO JOSE LECAROS"/>
    <x v="3"/>
    <x v="3"/>
    <n v="24116012"/>
    <n v="5000000"/>
    <m/>
    <m/>
  </r>
  <r>
    <d v="2025-07-31T00:00:00"/>
    <s v="0163673002 Transf de PEDRO JOSE LECAROS"/>
    <x v="3"/>
    <x v="3"/>
    <n v="29116012"/>
    <n v="5000000"/>
    <m/>
    <m/>
  </r>
  <r>
    <d v="2025-08-01T00:00:00"/>
    <s v="0163673002 Transf de PEDRO JOSE LECAROS"/>
    <x v="3"/>
    <x v="3"/>
    <n v="34116012"/>
    <n v="5000000"/>
    <m/>
    <m/>
  </r>
  <r>
    <d v="2025-08-01T00:00:00"/>
    <s v="Compra GOOGLE *GSUITE_el"/>
    <x v="2"/>
    <x v="0"/>
    <n v="39116012"/>
    <m/>
    <n v="-38308"/>
    <m/>
  </r>
  <r>
    <d v="2025-08-04T00:00:00"/>
    <s v="0777140248 Transf de ASESOR AS ECOX LIMI"/>
    <x v="4"/>
    <x v="0"/>
    <n v="39077704"/>
    <n v="500000"/>
    <m/>
    <m/>
  </r>
  <r>
    <d v="2025-08-04T00:00:00"/>
    <s v="0772132840 Transf a TREGUALEMU SPA"/>
    <x v="3"/>
    <x v="5"/>
    <n v="39577704"/>
    <m/>
    <n v="-39137836"/>
    <s v="Pago total Tregualemu"/>
  </r>
  <r>
    <d v="2025-08-05T00:00:00"/>
    <s v="Transf.Internet a 76.830.014-3"/>
    <x v="2"/>
    <x v="0"/>
    <n v="439868"/>
    <m/>
    <n v="-4100"/>
    <s v="Pago firma electronica"/>
  </r>
  <r>
    <d v="2025-08-13T00:00:00"/>
    <s v="0777140248 Transf a ASESORÍAS ECOX LIMI"/>
    <x v="4"/>
    <x v="0"/>
    <n v="435768"/>
    <m/>
    <n v="-100000"/>
    <m/>
  </r>
  <r>
    <d v="2025-08-27T00:00:00"/>
    <s v="COM.MANTENCION PLAN"/>
    <x v="2"/>
    <x v="0"/>
    <n v="335768"/>
    <m/>
    <n v="-38787"/>
    <m/>
  </r>
  <r>
    <d v="2025-09-01T00:00:00"/>
    <s v="Compra GOOGLE *GSUITE_el"/>
    <x v="2"/>
    <x v="0"/>
    <n v="296981"/>
    <m/>
    <n v="-39588"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  <r>
    <m/>
    <m/>
    <x v="0"/>
    <x v="0"/>
    <n v="25739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D711B-EAFC-4073-A87A-BD895EFF62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8">
    <pivotField showAll="0"/>
    <pivotField showAll="0"/>
    <pivotField axis="axisRow" showAll="0">
      <items count="11">
        <item x="4"/>
        <item x="6"/>
        <item x="2"/>
        <item x="9"/>
        <item x="8"/>
        <item x="1"/>
        <item x="3"/>
        <item x="7"/>
        <item x="5"/>
        <item x="0"/>
        <item t="default"/>
      </items>
    </pivotField>
    <pivotField axis="axisRow" showAll="0">
      <items count="7">
        <item sd="0" x="4"/>
        <item sd="0" x="1"/>
        <item x="2"/>
        <item x="3"/>
        <item x="5"/>
        <item x="0"/>
        <item t="default"/>
      </items>
    </pivotField>
    <pivotField numFmtId="164" showAll="0"/>
    <pivotField showAll="0"/>
    <pivotField dataField="1" showAll="0"/>
    <pivotField showAll="0"/>
  </pivotFields>
  <rowFields count="2">
    <field x="3"/>
    <field x="2"/>
  </rowFields>
  <rowItems count="19">
    <i>
      <x/>
    </i>
    <i>
      <x v="1"/>
    </i>
    <i>
      <x v="2"/>
    </i>
    <i r="1">
      <x v="6"/>
    </i>
    <i r="1">
      <x v="7"/>
    </i>
    <i>
      <x v="3"/>
    </i>
    <i r="1">
      <x v="6"/>
    </i>
    <i r="1">
      <x v="7"/>
    </i>
    <i>
      <x v="4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8"/>
    </i>
    <i r="1">
      <x v="9"/>
    </i>
    <i t="grand">
      <x/>
    </i>
  </rowItems>
  <colItems count="1">
    <i/>
  </colItems>
  <dataFields count="1">
    <dataField name="Sum of GIROS" fld="6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8637EE-5139-48FC-A7EB-D209EEA534DD}" name="Table3" displayName="Table3" ref="A1:H344" totalsRowShown="0" headerRowDxfId="8" dataDxfId="6" headerRowBorderDxfId="7" headerRowCellStyle="Currency" dataCellStyle="Currency">
  <autoFilter ref="A1:H344" xr:uid="{00000000-0001-0000-0000-000000000000}"/>
  <sortState xmlns:xlrd2="http://schemas.microsoft.com/office/spreadsheetml/2017/richdata2" ref="A3:H80">
    <sortCondition ref="A1:A156"/>
  </sortState>
  <tableColumns count="8">
    <tableColumn id="1" xr3:uid="{E00BB050-0621-4E30-A2DA-5417DC66E983}" name="FECHA" dataDxfId="5"/>
    <tableColumn id="2" xr3:uid="{FCEA2E6B-1DC8-43E0-9C18-1A02B9D9DB29}" name="DETALLE"/>
    <tableColumn id="3" xr3:uid="{28BEE185-67C1-45B3-AAD4-F21D83D65D7C}" name="CATEGORIA"/>
    <tableColumn id="4" xr3:uid="{6AB6CEA9-28FA-41C6-9377-41B55210385A}" name="SUB"/>
    <tableColumn id="5" xr3:uid="{2BA7B900-389B-407C-BB57-F5DFBEDE8C9E}" name="SALDO" dataDxfId="4" dataCellStyle="Currency">
      <calculatedColumnFormula>+E1+F1+G1</calculatedColumnFormula>
    </tableColumn>
    <tableColumn id="6" xr3:uid="{4E12B0E3-D6F2-4CBA-A975-497736DD679D}" name="DEPOSITO" dataDxfId="3" dataCellStyle="Currency"/>
    <tableColumn id="7" xr3:uid="{549ABC31-6C0B-4653-836B-41584F4418CE}" name="GIROS" dataDxfId="2" dataCellStyle="Currency"/>
    <tableColumn id="8" xr3:uid="{5709C410-384F-4178-ABD2-8D422592E5D1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4" totalsRowShown="0">
  <autoFilter ref="A1:A14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42CE-E9A3-4103-9B53-F696135D071B}">
  <dimension ref="A3:B22"/>
  <sheetViews>
    <sheetView workbookViewId="0">
      <selection activeCell="B11" sqref="B11"/>
    </sheetView>
  </sheetViews>
  <sheetFormatPr defaultRowHeight="14.4" x14ac:dyDescent="0.3"/>
  <cols>
    <col min="1" max="1" width="33.44140625" bestFit="1" customWidth="1"/>
    <col min="2" max="2" width="17" bestFit="1" customWidth="1"/>
    <col min="3" max="3" width="17.44140625" bestFit="1" customWidth="1"/>
    <col min="4" max="4" width="19" bestFit="1" customWidth="1"/>
    <col min="5" max="5" width="11.44140625" bestFit="1" customWidth="1"/>
    <col min="6" max="6" width="17" bestFit="1" customWidth="1"/>
    <col min="7" max="7" width="10.5546875" bestFit="1" customWidth="1"/>
    <col min="8" max="8" width="10.88671875" bestFit="1" customWidth="1"/>
    <col min="9" max="9" width="9.6640625" bestFit="1" customWidth="1"/>
    <col min="10" max="10" width="7" bestFit="1" customWidth="1"/>
    <col min="11" max="11" width="7.33203125" bestFit="1" customWidth="1"/>
    <col min="12" max="12" width="11.33203125" bestFit="1" customWidth="1"/>
  </cols>
  <sheetData>
    <row r="3" spans="1:2" x14ac:dyDescent="0.3">
      <c r="A3" s="9" t="s">
        <v>35</v>
      </c>
      <c r="B3" t="s">
        <v>38</v>
      </c>
    </row>
    <row r="4" spans="1:2" x14ac:dyDescent="0.3">
      <c r="A4" s="10" t="s">
        <v>31</v>
      </c>
      <c r="B4" s="12">
        <v>-13800000</v>
      </c>
    </row>
    <row r="5" spans="1:2" x14ac:dyDescent="0.3">
      <c r="A5" s="10" t="s">
        <v>30</v>
      </c>
      <c r="B5" s="12">
        <v>-57450150</v>
      </c>
    </row>
    <row r="6" spans="1:2" x14ac:dyDescent="0.3">
      <c r="A6" s="10" t="s">
        <v>24</v>
      </c>
      <c r="B6" s="12">
        <v>-10007000</v>
      </c>
    </row>
    <row r="7" spans="1:2" x14ac:dyDescent="0.3">
      <c r="A7" s="11" t="s">
        <v>20</v>
      </c>
      <c r="B7" s="12">
        <v>-2701000</v>
      </c>
    </row>
    <row r="8" spans="1:2" x14ac:dyDescent="0.3">
      <c r="A8" s="11" t="s">
        <v>17</v>
      </c>
      <c r="B8" s="12">
        <v>-7306000</v>
      </c>
    </row>
    <row r="9" spans="1:2" x14ac:dyDescent="0.3">
      <c r="A9" s="10" t="s">
        <v>23</v>
      </c>
      <c r="B9" s="12">
        <v>-9872000</v>
      </c>
    </row>
    <row r="10" spans="1:2" x14ac:dyDescent="0.3">
      <c r="A10" s="11" t="s">
        <v>20</v>
      </c>
      <c r="B10" s="12">
        <v>-2602000</v>
      </c>
    </row>
    <row r="11" spans="1:2" x14ac:dyDescent="0.3">
      <c r="A11" s="11" t="s">
        <v>17</v>
      </c>
      <c r="B11" s="12">
        <v>-7270000</v>
      </c>
    </row>
    <row r="12" spans="1:2" x14ac:dyDescent="0.3">
      <c r="A12" s="10" t="s">
        <v>22</v>
      </c>
      <c r="B12" s="12">
        <v>-123137836</v>
      </c>
    </row>
    <row r="13" spans="1:2" x14ac:dyDescent="0.3">
      <c r="A13" s="11" t="s">
        <v>20</v>
      </c>
      <c r="B13" s="12">
        <v>-123137836</v>
      </c>
    </row>
    <row r="14" spans="1:2" x14ac:dyDescent="0.3">
      <c r="A14" s="10" t="s">
        <v>36</v>
      </c>
      <c r="B14" s="12">
        <v>-33909581</v>
      </c>
    </row>
    <row r="15" spans="1:2" x14ac:dyDescent="0.3">
      <c r="A15" s="11" t="s">
        <v>19</v>
      </c>
      <c r="B15" s="12">
        <v>-3476755</v>
      </c>
    </row>
    <row r="16" spans="1:2" x14ac:dyDescent="0.3">
      <c r="A16" s="11" t="s">
        <v>16</v>
      </c>
      <c r="B16" s="12">
        <v>-25900000</v>
      </c>
    </row>
    <row r="17" spans="1:2" x14ac:dyDescent="0.3">
      <c r="A17" s="11" t="s">
        <v>9</v>
      </c>
      <c r="B17" s="12">
        <v>-4521095</v>
      </c>
    </row>
    <row r="18" spans="1:2" x14ac:dyDescent="0.3">
      <c r="A18" s="11" t="s">
        <v>14</v>
      </c>
      <c r="B18" s="12">
        <v>-11731</v>
      </c>
    </row>
    <row r="19" spans="1:2" x14ac:dyDescent="0.3">
      <c r="A19" s="11" t="s">
        <v>18</v>
      </c>
      <c r="B19" s="12"/>
    </row>
    <row r="20" spans="1:2" x14ac:dyDescent="0.3">
      <c r="A20" s="11" t="s">
        <v>12</v>
      </c>
      <c r="B20" s="12"/>
    </row>
    <row r="21" spans="1:2" x14ac:dyDescent="0.3">
      <c r="A21" s="11" t="s">
        <v>36</v>
      </c>
      <c r="B21" s="12"/>
    </row>
    <row r="22" spans="1:2" x14ac:dyDescent="0.3">
      <c r="A22" s="10" t="s">
        <v>37</v>
      </c>
      <c r="B22" s="12">
        <v>-248176567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4"/>
  <sheetViews>
    <sheetView tabSelected="1" topLeftCell="A30" workbookViewId="0">
      <selection activeCell="C48" sqref="C48"/>
    </sheetView>
  </sheetViews>
  <sheetFormatPr defaultRowHeight="14.4" x14ac:dyDescent="0.3"/>
  <cols>
    <col min="1" max="1" width="12" style="3" customWidth="1"/>
    <col min="2" max="2" width="49.33203125" customWidth="1"/>
    <col min="3" max="4" width="17.33203125" customWidth="1"/>
    <col min="5" max="7" width="17.33203125" style="2" customWidth="1"/>
    <col min="8" max="8" width="56.6640625" customWidth="1"/>
  </cols>
  <sheetData>
    <row r="1" spans="1:27" s="8" customFormat="1" ht="18" thickBot="1" x14ac:dyDescent="0.35">
      <c r="A1" s="4" t="s">
        <v>7</v>
      </c>
      <c r="B1" s="5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5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3">
      <c r="A2" s="3">
        <v>45658</v>
      </c>
      <c r="B2" t="s">
        <v>8</v>
      </c>
      <c r="E2" s="2">
        <v>222270</v>
      </c>
    </row>
    <row r="3" spans="1:27" x14ac:dyDescent="0.3">
      <c r="A3" s="3">
        <v>45659</v>
      </c>
      <c r="B3" s="1" t="s">
        <v>41</v>
      </c>
      <c r="C3" t="s">
        <v>9</v>
      </c>
      <c r="E3" s="2">
        <f t="shared" ref="E3:E54" si="0">+E2+F2+G2</f>
        <v>222270</v>
      </c>
      <c r="G3" s="2">
        <v>-36922</v>
      </c>
    </row>
    <row r="4" spans="1:27" x14ac:dyDescent="0.3">
      <c r="A4" s="3">
        <v>45662</v>
      </c>
      <c r="B4" t="s">
        <v>39</v>
      </c>
      <c r="C4" t="s">
        <v>18</v>
      </c>
      <c r="E4" s="2">
        <f t="shared" si="0"/>
        <v>185348</v>
      </c>
      <c r="G4" s="2">
        <v>-54</v>
      </c>
    </row>
    <row r="5" spans="1:27" x14ac:dyDescent="0.3">
      <c r="A5" s="3">
        <v>45662</v>
      </c>
      <c r="B5" t="s">
        <v>40</v>
      </c>
      <c r="C5" t="s">
        <v>18</v>
      </c>
      <c r="E5" s="2">
        <f t="shared" si="0"/>
        <v>185294</v>
      </c>
      <c r="G5" s="2">
        <v>-42</v>
      </c>
    </row>
    <row r="6" spans="1:27" x14ac:dyDescent="0.3">
      <c r="A6" s="3">
        <v>45685</v>
      </c>
      <c r="B6" t="s">
        <v>42</v>
      </c>
      <c r="C6" t="s">
        <v>9</v>
      </c>
      <c r="E6" s="2">
        <f t="shared" si="0"/>
        <v>185252</v>
      </c>
      <c r="G6" s="2">
        <v>-39327</v>
      </c>
    </row>
    <row r="7" spans="1:27" x14ac:dyDescent="0.3">
      <c r="A7" s="3">
        <v>45690</v>
      </c>
      <c r="B7" t="s">
        <v>41</v>
      </c>
      <c r="C7" t="s">
        <v>9</v>
      </c>
      <c r="E7" s="2">
        <f t="shared" si="0"/>
        <v>145925</v>
      </c>
      <c r="G7" s="2">
        <v>-35750</v>
      </c>
    </row>
    <row r="8" spans="1:27" x14ac:dyDescent="0.3">
      <c r="A8" s="3">
        <v>45712</v>
      </c>
      <c r="B8" t="s">
        <v>43</v>
      </c>
      <c r="C8" t="s">
        <v>11</v>
      </c>
      <c r="E8" s="2">
        <f t="shared" si="0"/>
        <v>110175</v>
      </c>
      <c r="F8" s="2">
        <v>1000000</v>
      </c>
      <c r="H8" t="s">
        <v>45</v>
      </c>
    </row>
    <row r="9" spans="1:27" x14ac:dyDescent="0.3">
      <c r="A9" s="3">
        <v>45714</v>
      </c>
      <c r="B9" t="s">
        <v>44</v>
      </c>
      <c r="C9" t="s">
        <v>11</v>
      </c>
      <c r="E9" s="2">
        <f t="shared" si="0"/>
        <v>1110175</v>
      </c>
      <c r="F9" s="2">
        <v>3800000</v>
      </c>
      <c r="H9" t="s">
        <v>45</v>
      </c>
    </row>
    <row r="10" spans="1:27" x14ac:dyDescent="0.3">
      <c r="A10" s="3">
        <v>45713</v>
      </c>
      <c r="B10" t="s">
        <v>42</v>
      </c>
      <c r="C10" t="s">
        <v>9</v>
      </c>
      <c r="E10" s="2">
        <f t="shared" si="0"/>
        <v>4910175</v>
      </c>
      <c r="G10" s="2">
        <v>-39312</v>
      </c>
    </row>
    <row r="11" spans="1:27" x14ac:dyDescent="0.3">
      <c r="A11" s="3">
        <v>45718</v>
      </c>
      <c r="B11" t="s">
        <v>41</v>
      </c>
      <c r="C11" t="s">
        <v>9</v>
      </c>
      <c r="E11" s="2">
        <f t="shared" si="0"/>
        <v>4870863</v>
      </c>
      <c r="G11" s="2">
        <v>-35906</v>
      </c>
    </row>
    <row r="12" spans="1:27" x14ac:dyDescent="0.3">
      <c r="A12" s="3">
        <v>45722</v>
      </c>
      <c r="B12" t="s">
        <v>46</v>
      </c>
      <c r="C12" t="s">
        <v>11</v>
      </c>
      <c r="E12" s="2">
        <f t="shared" si="0"/>
        <v>4834957</v>
      </c>
      <c r="G12" s="2">
        <v>-200000</v>
      </c>
      <c r="H12" t="s">
        <v>45</v>
      </c>
    </row>
    <row r="13" spans="1:27" x14ac:dyDescent="0.3">
      <c r="A13" s="3">
        <v>45725</v>
      </c>
      <c r="B13" t="s">
        <v>46</v>
      </c>
      <c r="C13" t="s">
        <v>11</v>
      </c>
      <c r="E13" s="2">
        <f t="shared" si="0"/>
        <v>4634957</v>
      </c>
      <c r="G13" s="2">
        <v>-4600000</v>
      </c>
      <c r="H13" t="s">
        <v>45</v>
      </c>
    </row>
    <row r="14" spans="1:27" x14ac:dyDescent="0.3">
      <c r="A14" s="3">
        <v>45726</v>
      </c>
      <c r="B14" t="s">
        <v>43</v>
      </c>
      <c r="C14" t="s">
        <v>11</v>
      </c>
      <c r="E14" s="2">
        <f t="shared" si="0"/>
        <v>34957</v>
      </c>
      <c r="F14" s="2">
        <v>200000</v>
      </c>
      <c r="H14" t="s">
        <v>45</v>
      </c>
    </row>
    <row r="15" spans="1:27" x14ac:dyDescent="0.3">
      <c r="A15" s="3">
        <v>45726</v>
      </c>
      <c r="B15" t="s">
        <v>46</v>
      </c>
      <c r="C15" t="s">
        <v>11</v>
      </c>
      <c r="E15" s="2">
        <f t="shared" si="0"/>
        <v>234957</v>
      </c>
      <c r="G15" s="2">
        <v>-200000</v>
      </c>
      <c r="H15" t="s">
        <v>45</v>
      </c>
    </row>
    <row r="16" spans="1:27" x14ac:dyDescent="0.3">
      <c r="A16" s="3">
        <v>45743</v>
      </c>
      <c r="B16" t="s">
        <v>42</v>
      </c>
      <c r="C16" t="s">
        <v>9</v>
      </c>
      <c r="E16" s="2">
        <f t="shared" si="0"/>
        <v>34957</v>
      </c>
      <c r="G16" s="2">
        <v>-39387</v>
      </c>
    </row>
    <row r="17" spans="1:8" x14ac:dyDescent="0.3">
      <c r="A17" s="3">
        <v>45743</v>
      </c>
      <c r="B17" t="s">
        <v>47</v>
      </c>
      <c r="C17" t="s">
        <v>18</v>
      </c>
      <c r="E17" s="2">
        <f t="shared" si="0"/>
        <v>-4430</v>
      </c>
      <c r="F17" s="2">
        <v>4430</v>
      </c>
    </row>
    <row r="18" spans="1:8" x14ac:dyDescent="0.3">
      <c r="A18" s="3">
        <v>45747</v>
      </c>
      <c r="B18" t="s">
        <v>48</v>
      </c>
      <c r="C18" t="s">
        <v>16</v>
      </c>
      <c r="E18" s="2">
        <f t="shared" si="0"/>
        <v>0</v>
      </c>
      <c r="F18" s="2">
        <v>30000</v>
      </c>
    </row>
    <row r="19" spans="1:8" x14ac:dyDescent="0.3">
      <c r="A19" s="3">
        <v>45747</v>
      </c>
      <c r="B19" t="s">
        <v>49</v>
      </c>
      <c r="C19" t="s">
        <v>18</v>
      </c>
      <c r="E19" s="2">
        <f t="shared" si="0"/>
        <v>30000</v>
      </c>
      <c r="G19" s="2">
        <v>-4430</v>
      </c>
    </row>
    <row r="20" spans="1:8" x14ac:dyDescent="0.3">
      <c r="A20" s="3">
        <v>45748</v>
      </c>
      <c r="B20" t="s">
        <v>41</v>
      </c>
      <c r="C20" t="s">
        <v>9</v>
      </c>
      <c r="E20" s="2">
        <f t="shared" si="0"/>
        <v>25570</v>
      </c>
      <c r="G20" s="2">
        <v>-37975</v>
      </c>
    </row>
    <row r="21" spans="1:8" x14ac:dyDescent="0.3">
      <c r="A21" s="3">
        <v>45748</v>
      </c>
      <c r="B21" t="s">
        <v>47</v>
      </c>
      <c r="C21" t="s">
        <v>18</v>
      </c>
      <c r="E21" s="2">
        <f t="shared" si="0"/>
        <v>-12405</v>
      </c>
      <c r="F21" s="2">
        <v>12405</v>
      </c>
    </row>
    <row r="22" spans="1:8" x14ac:dyDescent="0.3">
      <c r="A22" s="3">
        <v>45749</v>
      </c>
      <c r="B22" t="s">
        <v>48</v>
      </c>
      <c r="C22" t="s">
        <v>16</v>
      </c>
      <c r="E22" s="2">
        <f t="shared" si="0"/>
        <v>0</v>
      </c>
      <c r="F22" s="2">
        <v>50000</v>
      </c>
    </row>
    <row r="23" spans="1:8" x14ac:dyDescent="0.3">
      <c r="A23" s="3">
        <v>45749</v>
      </c>
      <c r="B23" t="s">
        <v>39</v>
      </c>
      <c r="C23" t="s">
        <v>18</v>
      </c>
      <c r="E23" s="2">
        <f t="shared" si="0"/>
        <v>50000</v>
      </c>
      <c r="G23" s="2">
        <v>-17</v>
      </c>
    </row>
    <row r="24" spans="1:8" x14ac:dyDescent="0.3">
      <c r="A24" s="3">
        <v>45749</v>
      </c>
      <c r="B24" t="s">
        <v>40</v>
      </c>
      <c r="C24" t="s">
        <v>18</v>
      </c>
      <c r="E24" s="2">
        <f t="shared" si="0"/>
        <v>49983</v>
      </c>
      <c r="G24" s="2">
        <v>-3</v>
      </c>
    </row>
    <row r="25" spans="1:8" x14ac:dyDescent="0.3">
      <c r="A25" s="3">
        <v>45749</v>
      </c>
      <c r="B25" t="s">
        <v>50</v>
      </c>
      <c r="C25" t="s">
        <v>9</v>
      </c>
      <c r="E25" s="2">
        <f t="shared" si="0"/>
        <v>49980</v>
      </c>
      <c r="G25" s="2">
        <v>-89999</v>
      </c>
    </row>
    <row r="26" spans="1:8" x14ac:dyDescent="0.3">
      <c r="A26" s="3">
        <v>45749</v>
      </c>
      <c r="B26" t="s">
        <v>47</v>
      </c>
      <c r="C26" t="s">
        <v>18</v>
      </c>
      <c r="E26" s="2">
        <f t="shared" si="0"/>
        <v>-40019</v>
      </c>
      <c r="F26" s="2">
        <v>40019</v>
      </c>
    </row>
    <row r="27" spans="1:8" x14ac:dyDescent="0.3">
      <c r="A27" s="3">
        <v>45756</v>
      </c>
      <c r="B27" t="s">
        <v>48</v>
      </c>
      <c r="C27" t="s">
        <v>16</v>
      </c>
      <c r="E27" s="2">
        <f t="shared" si="0"/>
        <v>0</v>
      </c>
      <c r="F27" s="2">
        <v>120000</v>
      </c>
    </row>
    <row r="28" spans="1:8" x14ac:dyDescent="0.3">
      <c r="A28" s="3">
        <v>45756</v>
      </c>
      <c r="B28" t="s">
        <v>51</v>
      </c>
      <c r="C28" t="s">
        <v>9</v>
      </c>
      <c r="E28" s="2">
        <f t="shared" si="0"/>
        <v>120000</v>
      </c>
      <c r="G28" s="2">
        <v>-12490</v>
      </c>
    </row>
    <row r="29" spans="1:8" x14ac:dyDescent="0.3">
      <c r="A29" s="3">
        <v>45756</v>
      </c>
      <c r="B29" t="s">
        <v>49</v>
      </c>
      <c r="C29" t="s">
        <v>18</v>
      </c>
      <c r="E29" s="2">
        <f t="shared" si="0"/>
        <v>107510</v>
      </c>
      <c r="G29" s="2">
        <v>-52424</v>
      </c>
    </row>
    <row r="30" spans="1:8" x14ac:dyDescent="0.3">
      <c r="A30" s="3">
        <v>45757</v>
      </c>
      <c r="B30" t="s">
        <v>52</v>
      </c>
      <c r="C30" t="s">
        <v>12</v>
      </c>
      <c r="E30" s="2">
        <f t="shared" si="0"/>
        <v>55086</v>
      </c>
      <c r="F30" s="2">
        <v>250000</v>
      </c>
      <c r="H30" t="s">
        <v>58</v>
      </c>
    </row>
    <row r="31" spans="1:8" x14ac:dyDescent="0.3">
      <c r="A31" s="3">
        <v>45762</v>
      </c>
      <c r="B31" t="s">
        <v>52</v>
      </c>
      <c r="C31" t="s">
        <v>12</v>
      </c>
      <c r="E31" s="2">
        <f t="shared" si="0"/>
        <v>305086</v>
      </c>
      <c r="F31" s="2">
        <v>1393940</v>
      </c>
      <c r="H31" t="s">
        <v>58</v>
      </c>
    </row>
    <row r="32" spans="1:8" x14ac:dyDescent="0.3">
      <c r="A32" s="3">
        <v>45768</v>
      </c>
      <c r="B32" t="s">
        <v>53</v>
      </c>
      <c r="C32" t="s">
        <v>14</v>
      </c>
      <c r="E32" s="2">
        <f t="shared" si="0"/>
        <v>1699026</v>
      </c>
      <c r="G32" s="2">
        <v>-216969</v>
      </c>
      <c r="H32" t="s">
        <v>59</v>
      </c>
    </row>
    <row r="33" spans="1:8" x14ac:dyDescent="0.3">
      <c r="A33" s="3">
        <v>45771</v>
      </c>
      <c r="B33" t="s">
        <v>54</v>
      </c>
      <c r="C33" t="s">
        <v>61</v>
      </c>
      <c r="E33" s="2">
        <f t="shared" si="0"/>
        <v>1482057</v>
      </c>
      <c r="F33" s="2">
        <v>40000000</v>
      </c>
      <c r="H33" t="s">
        <v>60</v>
      </c>
    </row>
    <row r="34" spans="1:8" x14ac:dyDescent="0.3">
      <c r="A34" s="3">
        <v>45771</v>
      </c>
      <c r="B34" t="s">
        <v>55</v>
      </c>
      <c r="C34" t="s">
        <v>19</v>
      </c>
      <c r="E34" s="2">
        <f t="shared" si="0"/>
        <v>41482057</v>
      </c>
      <c r="G34" s="2">
        <v>-40000000</v>
      </c>
    </row>
    <row r="35" spans="1:8" x14ac:dyDescent="0.3">
      <c r="A35" s="3">
        <v>45774</v>
      </c>
      <c r="B35" t="s">
        <v>54</v>
      </c>
      <c r="C35" t="s">
        <v>61</v>
      </c>
      <c r="E35" s="2">
        <f t="shared" si="0"/>
        <v>1482057</v>
      </c>
      <c r="F35" s="2">
        <v>12920000</v>
      </c>
      <c r="H35" t="s">
        <v>60</v>
      </c>
    </row>
    <row r="36" spans="1:8" x14ac:dyDescent="0.3">
      <c r="A36" s="3">
        <v>45774</v>
      </c>
      <c r="B36" t="s">
        <v>55</v>
      </c>
      <c r="C36" t="s">
        <v>19</v>
      </c>
      <c r="E36" s="2">
        <f t="shared" si="0"/>
        <v>14402057</v>
      </c>
      <c r="G36" s="2">
        <v>-12920000</v>
      </c>
    </row>
    <row r="37" spans="1:8" x14ac:dyDescent="0.3">
      <c r="A37" s="3">
        <v>45774</v>
      </c>
      <c r="B37" t="s">
        <v>56</v>
      </c>
      <c r="C37" t="s">
        <v>16</v>
      </c>
      <c r="E37" s="2">
        <f t="shared" si="0"/>
        <v>1482057</v>
      </c>
      <c r="G37" s="2">
        <v>-1000000</v>
      </c>
    </row>
    <row r="38" spans="1:8" x14ac:dyDescent="0.3">
      <c r="A38" s="3">
        <v>45775</v>
      </c>
      <c r="B38" t="s">
        <v>57</v>
      </c>
      <c r="C38" t="s">
        <v>9</v>
      </c>
      <c r="E38" s="2">
        <f t="shared" si="0"/>
        <v>482057</v>
      </c>
      <c r="G38" s="2">
        <v>-23369</v>
      </c>
    </row>
    <row r="39" spans="1:8" x14ac:dyDescent="0.3">
      <c r="A39" s="3">
        <v>45775</v>
      </c>
      <c r="B39" t="s">
        <v>42</v>
      </c>
      <c r="C39" t="s">
        <v>9</v>
      </c>
      <c r="E39" s="2">
        <f t="shared" si="0"/>
        <v>458688</v>
      </c>
      <c r="G39" s="2">
        <v>-39443</v>
      </c>
    </row>
    <row r="40" spans="1:8" x14ac:dyDescent="0.3">
      <c r="A40" s="3">
        <v>45781</v>
      </c>
      <c r="B40" t="s">
        <v>41</v>
      </c>
      <c r="C40" t="s">
        <v>9</v>
      </c>
      <c r="E40" s="2">
        <f t="shared" si="0"/>
        <v>419245</v>
      </c>
      <c r="G40" s="2">
        <v>-36854</v>
      </c>
    </row>
    <row r="41" spans="1:8" x14ac:dyDescent="0.3">
      <c r="A41" s="3">
        <v>45782</v>
      </c>
      <c r="B41" t="s">
        <v>39</v>
      </c>
      <c r="C41" t="s">
        <v>18</v>
      </c>
      <c r="E41" s="2">
        <f t="shared" si="0"/>
        <v>382391</v>
      </c>
      <c r="G41" s="2">
        <v>-358</v>
      </c>
    </row>
    <row r="42" spans="1:8" x14ac:dyDescent="0.3">
      <c r="A42" s="3">
        <v>45782</v>
      </c>
      <c r="B42" t="s">
        <v>40</v>
      </c>
      <c r="C42" t="s">
        <v>18</v>
      </c>
      <c r="E42" s="2">
        <f t="shared" si="0"/>
        <v>382033</v>
      </c>
      <c r="G42" s="2">
        <v>-31</v>
      </c>
    </row>
    <row r="43" spans="1:8" x14ac:dyDescent="0.3">
      <c r="A43" s="3">
        <v>45785</v>
      </c>
      <c r="B43" t="s">
        <v>62</v>
      </c>
      <c r="C43" t="s">
        <v>14</v>
      </c>
      <c r="E43" s="2">
        <f t="shared" si="0"/>
        <v>382002</v>
      </c>
      <c r="G43" s="2">
        <v>-2055</v>
      </c>
    </row>
    <row r="44" spans="1:8" x14ac:dyDescent="0.3">
      <c r="A44" s="3">
        <v>45789</v>
      </c>
      <c r="B44" t="s">
        <v>44</v>
      </c>
      <c r="C44" t="s">
        <v>11</v>
      </c>
      <c r="E44" s="2">
        <f t="shared" si="0"/>
        <v>379947</v>
      </c>
      <c r="F44" s="2">
        <v>929517</v>
      </c>
    </row>
    <row r="45" spans="1:8" x14ac:dyDescent="0.3">
      <c r="A45" s="3">
        <v>45789</v>
      </c>
      <c r="B45" t="s">
        <v>46</v>
      </c>
      <c r="C45" t="s">
        <v>11</v>
      </c>
      <c r="E45" s="2">
        <f t="shared" si="0"/>
        <v>1309464</v>
      </c>
      <c r="G45" s="2">
        <v>-929517</v>
      </c>
    </row>
    <row r="46" spans="1:8" x14ac:dyDescent="0.3">
      <c r="A46" s="3">
        <v>45789</v>
      </c>
      <c r="B46" t="s">
        <v>52</v>
      </c>
      <c r="C46" t="s">
        <v>12</v>
      </c>
      <c r="E46" s="2">
        <f t="shared" si="0"/>
        <v>379947</v>
      </c>
      <c r="F46" s="2">
        <v>654270</v>
      </c>
      <c r="H46" t="s">
        <v>64</v>
      </c>
    </row>
    <row r="47" spans="1:8" x14ac:dyDescent="0.3">
      <c r="A47" s="3">
        <v>45792</v>
      </c>
      <c r="B47" t="s">
        <v>63</v>
      </c>
      <c r="C47" t="s">
        <v>14</v>
      </c>
      <c r="E47" s="2">
        <f t="shared" si="0"/>
        <v>1034217</v>
      </c>
      <c r="F47" s="2">
        <v>35234</v>
      </c>
    </row>
    <row r="48" spans="1:8" x14ac:dyDescent="0.3">
      <c r="A48" s="3">
        <v>45804</v>
      </c>
      <c r="B48" t="s">
        <v>42</v>
      </c>
      <c r="C48" t="s">
        <v>9</v>
      </c>
      <c r="E48" s="2">
        <f t="shared" si="0"/>
        <v>1069451</v>
      </c>
      <c r="G48" s="2">
        <v>-39719</v>
      </c>
    </row>
    <row r="49" spans="1:7" x14ac:dyDescent="0.3">
      <c r="A49" s="3">
        <v>45809</v>
      </c>
      <c r="B49" t="s">
        <v>41</v>
      </c>
      <c r="C49" t="s">
        <v>9</v>
      </c>
      <c r="E49" s="2">
        <f t="shared" si="0"/>
        <v>1029732</v>
      </c>
      <c r="G49" s="2">
        <v>-36559</v>
      </c>
    </row>
    <row r="50" spans="1:7" x14ac:dyDescent="0.3">
      <c r="E50" s="2">
        <f t="shared" si="0"/>
        <v>993173</v>
      </c>
    </row>
    <row r="51" spans="1:7" x14ac:dyDescent="0.3">
      <c r="E51" s="2">
        <f t="shared" si="0"/>
        <v>993173</v>
      </c>
    </row>
    <row r="52" spans="1:7" x14ac:dyDescent="0.3">
      <c r="E52" s="2">
        <f t="shared" si="0"/>
        <v>993173</v>
      </c>
    </row>
    <row r="53" spans="1:7" x14ac:dyDescent="0.3">
      <c r="E53" s="2">
        <f t="shared" si="0"/>
        <v>993173</v>
      </c>
    </row>
    <row r="54" spans="1:7" x14ac:dyDescent="0.3">
      <c r="E54" s="2">
        <f t="shared" si="0"/>
        <v>993173</v>
      </c>
    </row>
    <row r="175" spans="5:5" x14ac:dyDescent="0.3">
      <c r="E175" s="2">
        <f t="shared" ref="E175:E220" si="1">+E174+F174+G174</f>
        <v>0</v>
      </c>
    </row>
    <row r="176" spans="5:5" x14ac:dyDescent="0.3">
      <c r="E176" s="2">
        <f t="shared" si="1"/>
        <v>0</v>
      </c>
    </row>
    <row r="177" spans="5:5" x14ac:dyDescent="0.3">
      <c r="E177" s="2">
        <f t="shared" si="1"/>
        <v>0</v>
      </c>
    </row>
    <row r="178" spans="5:5" x14ac:dyDescent="0.3">
      <c r="E178" s="2">
        <f t="shared" si="1"/>
        <v>0</v>
      </c>
    </row>
    <row r="179" spans="5:5" x14ac:dyDescent="0.3">
      <c r="E179" s="2">
        <f t="shared" si="1"/>
        <v>0</v>
      </c>
    </row>
    <row r="180" spans="5:5" x14ac:dyDescent="0.3">
      <c r="E180" s="2">
        <f t="shared" si="1"/>
        <v>0</v>
      </c>
    </row>
    <row r="181" spans="5:5" x14ac:dyDescent="0.3">
      <c r="E181" s="2">
        <f t="shared" si="1"/>
        <v>0</v>
      </c>
    </row>
    <row r="182" spans="5:5" x14ac:dyDescent="0.3">
      <c r="E182" s="2">
        <f t="shared" si="1"/>
        <v>0</v>
      </c>
    </row>
    <row r="183" spans="5:5" x14ac:dyDescent="0.3">
      <c r="E183" s="2">
        <f t="shared" si="1"/>
        <v>0</v>
      </c>
    </row>
    <row r="184" spans="5:5" x14ac:dyDescent="0.3">
      <c r="E184" s="2">
        <f t="shared" si="1"/>
        <v>0</v>
      </c>
    </row>
    <row r="185" spans="5:5" x14ac:dyDescent="0.3">
      <c r="E185" s="2">
        <f t="shared" si="1"/>
        <v>0</v>
      </c>
    </row>
    <row r="186" spans="5:5" x14ac:dyDescent="0.3">
      <c r="E186" s="2">
        <f t="shared" si="1"/>
        <v>0</v>
      </c>
    </row>
    <row r="187" spans="5:5" x14ac:dyDescent="0.3">
      <c r="E187" s="2">
        <f t="shared" si="1"/>
        <v>0</v>
      </c>
    </row>
    <row r="188" spans="5:5" x14ac:dyDescent="0.3">
      <c r="E188" s="2">
        <f t="shared" si="1"/>
        <v>0</v>
      </c>
    </row>
    <row r="189" spans="5:5" x14ac:dyDescent="0.3">
      <c r="E189" s="2">
        <f t="shared" si="1"/>
        <v>0</v>
      </c>
    </row>
    <row r="190" spans="5:5" x14ac:dyDescent="0.3">
      <c r="E190" s="2">
        <f t="shared" si="1"/>
        <v>0</v>
      </c>
    </row>
    <row r="191" spans="5:5" x14ac:dyDescent="0.3">
      <c r="E191" s="2">
        <f t="shared" si="1"/>
        <v>0</v>
      </c>
    </row>
    <row r="192" spans="5:5" x14ac:dyDescent="0.3">
      <c r="E192" s="2">
        <f t="shared" si="1"/>
        <v>0</v>
      </c>
    </row>
    <row r="193" spans="5:5" x14ac:dyDescent="0.3">
      <c r="E193" s="2">
        <f t="shared" si="1"/>
        <v>0</v>
      </c>
    </row>
    <row r="194" spans="5:5" x14ac:dyDescent="0.3">
      <c r="E194" s="2">
        <f t="shared" si="1"/>
        <v>0</v>
      </c>
    </row>
    <row r="195" spans="5:5" x14ac:dyDescent="0.3">
      <c r="E195" s="2">
        <f t="shared" si="1"/>
        <v>0</v>
      </c>
    </row>
    <row r="196" spans="5:5" x14ac:dyDescent="0.3">
      <c r="E196" s="2">
        <f t="shared" si="1"/>
        <v>0</v>
      </c>
    </row>
    <row r="197" spans="5:5" x14ac:dyDescent="0.3">
      <c r="E197" s="2">
        <f t="shared" si="1"/>
        <v>0</v>
      </c>
    </row>
    <row r="198" spans="5:5" x14ac:dyDescent="0.3">
      <c r="E198" s="2">
        <f t="shared" si="1"/>
        <v>0</v>
      </c>
    </row>
    <row r="199" spans="5:5" x14ac:dyDescent="0.3">
      <c r="E199" s="2">
        <f t="shared" si="1"/>
        <v>0</v>
      </c>
    </row>
    <row r="200" spans="5:5" x14ac:dyDescent="0.3">
      <c r="E200" s="2">
        <f t="shared" si="1"/>
        <v>0</v>
      </c>
    </row>
    <row r="201" spans="5:5" x14ac:dyDescent="0.3">
      <c r="E201" s="2">
        <f t="shared" si="1"/>
        <v>0</v>
      </c>
    </row>
    <row r="202" spans="5:5" x14ac:dyDescent="0.3">
      <c r="E202" s="2">
        <f t="shared" si="1"/>
        <v>0</v>
      </c>
    </row>
    <row r="203" spans="5:5" x14ac:dyDescent="0.3">
      <c r="E203" s="2">
        <f t="shared" si="1"/>
        <v>0</v>
      </c>
    </row>
    <row r="204" spans="5:5" x14ac:dyDescent="0.3">
      <c r="E204" s="2">
        <f t="shared" si="1"/>
        <v>0</v>
      </c>
    </row>
    <row r="205" spans="5:5" x14ac:dyDescent="0.3">
      <c r="E205" s="2">
        <f t="shared" si="1"/>
        <v>0</v>
      </c>
    </row>
    <row r="206" spans="5:5" x14ac:dyDescent="0.3">
      <c r="E206" s="2">
        <f t="shared" si="1"/>
        <v>0</v>
      </c>
    </row>
    <row r="207" spans="5:5" x14ac:dyDescent="0.3">
      <c r="E207" s="2">
        <f t="shared" si="1"/>
        <v>0</v>
      </c>
    </row>
    <row r="208" spans="5:5" x14ac:dyDescent="0.3">
      <c r="E208" s="2">
        <f t="shared" si="1"/>
        <v>0</v>
      </c>
    </row>
    <row r="209" spans="5:5" x14ac:dyDescent="0.3">
      <c r="E209" s="2">
        <f t="shared" si="1"/>
        <v>0</v>
      </c>
    </row>
    <row r="210" spans="5:5" x14ac:dyDescent="0.3">
      <c r="E210" s="2">
        <f t="shared" si="1"/>
        <v>0</v>
      </c>
    </row>
    <row r="211" spans="5:5" x14ac:dyDescent="0.3">
      <c r="E211" s="2">
        <f t="shared" si="1"/>
        <v>0</v>
      </c>
    </row>
    <row r="212" spans="5:5" x14ac:dyDescent="0.3">
      <c r="E212" s="2">
        <f t="shared" si="1"/>
        <v>0</v>
      </c>
    </row>
    <row r="213" spans="5:5" x14ac:dyDescent="0.3">
      <c r="E213" s="2">
        <f t="shared" si="1"/>
        <v>0</v>
      </c>
    </row>
    <row r="214" spans="5:5" x14ac:dyDescent="0.3">
      <c r="E214" s="2">
        <f t="shared" si="1"/>
        <v>0</v>
      </c>
    </row>
    <row r="215" spans="5:5" x14ac:dyDescent="0.3">
      <c r="E215" s="2">
        <f t="shared" si="1"/>
        <v>0</v>
      </c>
    </row>
    <row r="216" spans="5:5" x14ac:dyDescent="0.3">
      <c r="E216" s="2">
        <f t="shared" si="1"/>
        <v>0</v>
      </c>
    </row>
    <row r="217" spans="5:5" x14ac:dyDescent="0.3">
      <c r="E217" s="2">
        <f t="shared" si="1"/>
        <v>0</v>
      </c>
    </row>
    <row r="218" spans="5:5" x14ac:dyDescent="0.3">
      <c r="E218" s="2">
        <f t="shared" si="1"/>
        <v>0</v>
      </c>
    </row>
    <row r="219" spans="5:5" x14ac:dyDescent="0.3">
      <c r="E219" s="2">
        <f t="shared" si="1"/>
        <v>0</v>
      </c>
    </row>
    <row r="220" spans="5:5" x14ac:dyDescent="0.3">
      <c r="E220" s="2">
        <f t="shared" si="1"/>
        <v>0</v>
      </c>
    </row>
    <row r="221" spans="5:5" x14ac:dyDescent="0.3">
      <c r="E221" s="2">
        <f t="shared" ref="E221:E284" si="2">+E220+F220+G220</f>
        <v>0</v>
      </c>
    </row>
    <row r="222" spans="5:5" x14ac:dyDescent="0.3">
      <c r="E222" s="2">
        <f t="shared" si="2"/>
        <v>0</v>
      </c>
    </row>
    <row r="223" spans="5:5" x14ac:dyDescent="0.3">
      <c r="E223" s="2">
        <f t="shared" si="2"/>
        <v>0</v>
      </c>
    </row>
    <row r="224" spans="5:5" x14ac:dyDescent="0.3">
      <c r="E224" s="2">
        <f t="shared" si="2"/>
        <v>0</v>
      </c>
    </row>
    <row r="225" spans="5:5" x14ac:dyDescent="0.3">
      <c r="E225" s="2">
        <f t="shared" si="2"/>
        <v>0</v>
      </c>
    </row>
    <row r="226" spans="5:5" x14ac:dyDescent="0.3">
      <c r="E226" s="2">
        <f t="shared" si="2"/>
        <v>0</v>
      </c>
    </row>
    <row r="227" spans="5:5" x14ac:dyDescent="0.3">
      <c r="E227" s="2">
        <f t="shared" si="2"/>
        <v>0</v>
      </c>
    </row>
    <row r="228" spans="5:5" x14ac:dyDescent="0.3">
      <c r="E228" s="2">
        <f t="shared" si="2"/>
        <v>0</v>
      </c>
    </row>
    <row r="229" spans="5:5" x14ac:dyDescent="0.3">
      <c r="E229" s="2">
        <f t="shared" si="2"/>
        <v>0</v>
      </c>
    </row>
    <row r="230" spans="5:5" x14ac:dyDescent="0.3">
      <c r="E230" s="2">
        <f t="shared" si="2"/>
        <v>0</v>
      </c>
    </row>
    <row r="231" spans="5:5" x14ac:dyDescent="0.3">
      <c r="E231" s="2">
        <f t="shared" si="2"/>
        <v>0</v>
      </c>
    </row>
    <row r="232" spans="5:5" x14ac:dyDescent="0.3">
      <c r="E232" s="2">
        <f t="shared" si="2"/>
        <v>0</v>
      </c>
    </row>
    <row r="233" spans="5:5" x14ac:dyDescent="0.3">
      <c r="E233" s="2">
        <f t="shared" si="2"/>
        <v>0</v>
      </c>
    </row>
    <row r="234" spans="5:5" x14ac:dyDescent="0.3">
      <c r="E234" s="2">
        <f t="shared" si="2"/>
        <v>0</v>
      </c>
    </row>
    <row r="235" spans="5:5" x14ac:dyDescent="0.3">
      <c r="E235" s="2">
        <f t="shared" si="2"/>
        <v>0</v>
      </c>
    </row>
    <row r="236" spans="5:5" x14ac:dyDescent="0.3">
      <c r="E236" s="2">
        <f t="shared" si="2"/>
        <v>0</v>
      </c>
    </row>
    <row r="237" spans="5:5" x14ac:dyDescent="0.3">
      <c r="E237" s="2">
        <f t="shared" si="2"/>
        <v>0</v>
      </c>
    </row>
    <row r="238" spans="5:5" x14ac:dyDescent="0.3">
      <c r="E238" s="2">
        <f t="shared" si="2"/>
        <v>0</v>
      </c>
    </row>
    <row r="239" spans="5:5" x14ac:dyDescent="0.3">
      <c r="E239" s="2">
        <f t="shared" si="2"/>
        <v>0</v>
      </c>
    </row>
    <row r="240" spans="5:5" x14ac:dyDescent="0.3">
      <c r="E240" s="2">
        <f t="shared" si="2"/>
        <v>0</v>
      </c>
    </row>
    <row r="241" spans="5:5" x14ac:dyDescent="0.3">
      <c r="E241" s="2">
        <f t="shared" si="2"/>
        <v>0</v>
      </c>
    </row>
    <row r="242" spans="5:5" x14ac:dyDescent="0.3">
      <c r="E242" s="2">
        <f t="shared" si="2"/>
        <v>0</v>
      </c>
    </row>
    <row r="243" spans="5:5" x14ac:dyDescent="0.3">
      <c r="E243" s="2">
        <f t="shared" si="2"/>
        <v>0</v>
      </c>
    </row>
    <row r="244" spans="5:5" x14ac:dyDescent="0.3">
      <c r="E244" s="2">
        <f t="shared" si="2"/>
        <v>0</v>
      </c>
    </row>
    <row r="245" spans="5:5" x14ac:dyDescent="0.3">
      <c r="E245" s="2">
        <f t="shared" si="2"/>
        <v>0</v>
      </c>
    </row>
    <row r="246" spans="5:5" x14ac:dyDescent="0.3">
      <c r="E246" s="2">
        <f t="shared" si="2"/>
        <v>0</v>
      </c>
    </row>
    <row r="247" spans="5:5" x14ac:dyDescent="0.3">
      <c r="E247" s="2">
        <f t="shared" si="2"/>
        <v>0</v>
      </c>
    </row>
    <row r="248" spans="5:5" x14ac:dyDescent="0.3">
      <c r="E248" s="2">
        <f t="shared" si="2"/>
        <v>0</v>
      </c>
    </row>
    <row r="249" spans="5:5" x14ac:dyDescent="0.3">
      <c r="E249" s="2">
        <f t="shared" si="2"/>
        <v>0</v>
      </c>
    </row>
    <row r="250" spans="5:5" x14ac:dyDescent="0.3">
      <c r="E250" s="2">
        <f t="shared" si="2"/>
        <v>0</v>
      </c>
    </row>
    <row r="251" spans="5:5" x14ac:dyDescent="0.3">
      <c r="E251" s="2">
        <f t="shared" si="2"/>
        <v>0</v>
      </c>
    </row>
    <row r="252" spans="5:5" x14ac:dyDescent="0.3">
      <c r="E252" s="2">
        <f t="shared" si="2"/>
        <v>0</v>
      </c>
    </row>
    <row r="253" spans="5:5" x14ac:dyDescent="0.3">
      <c r="E253" s="2">
        <f t="shared" si="2"/>
        <v>0</v>
      </c>
    </row>
    <row r="254" spans="5:5" x14ac:dyDescent="0.3">
      <c r="E254" s="2">
        <f t="shared" si="2"/>
        <v>0</v>
      </c>
    </row>
    <row r="255" spans="5:5" x14ac:dyDescent="0.3">
      <c r="E255" s="2">
        <f t="shared" si="2"/>
        <v>0</v>
      </c>
    </row>
    <row r="256" spans="5:5" x14ac:dyDescent="0.3">
      <c r="E256" s="2">
        <f t="shared" si="2"/>
        <v>0</v>
      </c>
    </row>
    <row r="257" spans="5:5" x14ac:dyDescent="0.3">
      <c r="E257" s="2">
        <f t="shared" si="2"/>
        <v>0</v>
      </c>
    </row>
    <row r="258" spans="5:5" x14ac:dyDescent="0.3">
      <c r="E258" s="2">
        <f t="shared" si="2"/>
        <v>0</v>
      </c>
    </row>
    <row r="259" spans="5:5" x14ac:dyDescent="0.3">
      <c r="E259" s="2">
        <f t="shared" si="2"/>
        <v>0</v>
      </c>
    </row>
    <row r="260" spans="5:5" x14ac:dyDescent="0.3">
      <c r="E260" s="2">
        <f t="shared" si="2"/>
        <v>0</v>
      </c>
    </row>
    <row r="261" spans="5:5" x14ac:dyDescent="0.3">
      <c r="E261" s="2">
        <f t="shared" si="2"/>
        <v>0</v>
      </c>
    </row>
    <row r="262" spans="5:5" x14ac:dyDescent="0.3">
      <c r="E262" s="2">
        <f t="shared" si="2"/>
        <v>0</v>
      </c>
    </row>
    <row r="263" spans="5:5" x14ac:dyDescent="0.3">
      <c r="E263" s="2">
        <f t="shared" si="2"/>
        <v>0</v>
      </c>
    </row>
    <row r="264" spans="5:5" x14ac:dyDescent="0.3">
      <c r="E264" s="2">
        <f t="shared" si="2"/>
        <v>0</v>
      </c>
    </row>
    <row r="265" spans="5:5" x14ac:dyDescent="0.3">
      <c r="E265" s="2">
        <f t="shared" si="2"/>
        <v>0</v>
      </c>
    </row>
    <row r="266" spans="5:5" x14ac:dyDescent="0.3">
      <c r="E266" s="2">
        <f t="shared" si="2"/>
        <v>0</v>
      </c>
    </row>
    <row r="267" spans="5:5" x14ac:dyDescent="0.3">
      <c r="E267" s="2">
        <f t="shared" si="2"/>
        <v>0</v>
      </c>
    </row>
    <row r="268" spans="5:5" x14ac:dyDescent="0.3">
      <c r="E268" s="2">
        <f t="shared" si="2"/>
        <v>0</v>
      </c>
    </row>
    <row r="269" spans="5:5" x14ac:dyDescent="0.3">
      <c r="E269" s="2">
        <f t="shared" si="2"/>
        <v>0</v>
      </c>
    </row>
    <row r="270" spans="5:5" x14ac:dyDescent="0.3">
      <c r="E270" s="2">
        <f t="shared" si="2"/>
        <v>0</v>
      </c>
    </row>
    <row r="271" spans="5:5" x14ac:dyDescent="0.3">
      <c r="E271" s="2">
        <f t="shared" si="2"/>
        <v>0</v>
      </c>
    </row>
    <row r="272" spans="5:5" x14ac:dyDescent="0.3">
      <c r="E272" s="2">
        <f t="shared" si="2"/>
        <v>0</v>
      </c>
    </row>
    <row r="273" spans="5:5" x14ac:dyDescent="0.3">
      <c r="E273" s="2">
        <f t="shared" si="2"/>
        <v>0</v>
      </c>
    </row>
    <row r="274" spans="5:5" x14ac:dyDescent="0.3">
      <c r="E274" s="2">
        <f t="shared" si="2"/>
        <v>0</v>
      </c>
    </row>
    <row r="275" spans="5:5" x14ac:dyDescent="0.3">
      <c r="E275" s="2">
        <f t="shared" si="2"/>
        <v>0</v>
      </c>
    </row>
    <row r="276" spans="5:5" x14ac:dyDescent="0.3">
      <c r="E276" s="2">
        <f t="shared" si="2"/>
        <v>0</v>
      </c>
    </row>
    <row r="277" spans="5:5" x14ac:dyDescent="0.3">
      <c r="E277" s="2">
        <f t="shared" si="2"/>
        <v>0</v>
      </c>
    </row>
    <row r="278" spans="5:5" x14ac:dyDescent="0.3">
      <c r="E278" s="2">
        <f t="shared" si="2"/>
        <v>0</v>
      </c>
    </row>
    <row r="279" spans="5:5" x14ac:dyDescent="0.3">
      <c r="E279" s="2">
        <f t="shared" si="2"/>
        <v>0</v>
      </c>
    </row>
    <row r="280" spans="5:5" x14ac:dyDescent="0.3">
      <c r="E280" s="2">
        <f t="shared" si="2"/>
        <v>0</v>
      </c>
    </row>
    <row r="281" spans="5:5" x14ac:dyDescent="0.3">
      <c r="E281" s="2">
        <f t="shared" si="2"/>
        <v>0</v>
      </c>
    </row>
    <row r="282" spans="5:5" x14ac:dyDescent="0.3">
      <c r="E282" s="2">
        <f t="shared" si="2"/>
        <v>0</v>
      </c>
    </row>
    <row r="283" spans="5:5" x14ac:dyDescent="0.3">
      <c r="E283" s="2">
        <f t="shared" si="2"/>
        <v>0</v>
      </c>
    </row>
    <row r="284" spans="5:5" x14ac:dyDescent="0.3">
      <c r="E284" s="2">
        <f t="shared" si="2"/>
        <v>0</v>
      </c>
    </row>
    <row r="285" spans="5:5" x14ac:dyDescent="0.3">
      <c r="E285" s="2">
        <f t="shared" ref="E285:E344" si="3">+E284+F284+G284</f>
        <v>0</v>
      </c>
    </row>
    <row r="286" spans="5:5" x14ac:dyDescent="0.3">
      <c r="E286" s="2">
        <f t="shared" si="3"/>
        <v>0</v>
      </c>
    </row>
    <row r="287" spans="5:5" x14ac:dyDescent="0.3">
      <c r="E287" s="2">
        <f t="shared" si="3"/>
        <v>0</v>
      </c>
    </row>
    <row r="288" spans="5:5" x14ac:dyDescent="0.3">
      <c r="E288" s="2">
        <f t="shared" si="3"/>
        <v>0</v>
      </c>
    </row>
    <row r="289" spans="5:5" x14ac:dyDescent="0.3">
      <c r="E289" s="2">
        <f t="shared" si="3"/>
        <v>0</v>
      </c>
    </row>
    <row r="290" spans="5:5" x14ac:dyDescent="0.3">
      <c r="E290" s="2">
        <f t="shared" si="3"/>
        <v>0</v>
      </c>
    </row>
    <row r="291" spans="5:5" x14ac:dyDescent="0.3">
      <c r="E291" s="2">
        <f t="shared" si="3"/>
        <v>0</v>
      </c>
    </row>
    <row r="292" spans="5:5" x14ac:dyDescent="0.3">
      <c r="E292" s="2">
        <f t="shared" si="3"/>
        <v>0</v>
      </c>
    </row>
    <row r="293" spans="5:5" x14ac:dyDescent="0.3">
      <c r="E293" s="2">
        <f t="shared" si="3"/>
        <v>0</v>
      </c>
    </row>
    <row r="294" spans="5:5" x14ac:dyDescent="0.3">
      <c r="E294" s="2">
        <f t="shared" si="3"/>
        <v>0</v>
      </c>
    </row>
    <row r="295" spans="5:5" x14ac:dyDescent="0.3">
      <c r="E295" s="2">
        <f t="shared" si="3"/>
        <v>0</v>
      </c>
    </row>
    <row r="296" spans="5:5" x14ac:dyDescent="0.3">
      <c r="E296" s="2">
        <f t="shared" si="3"/>
        <v>0</v>
      </c>
    </row>
    <row r="297" spans="5:5" x14ac:dyDescent="0.3">
      <c r="E297" s="2">
        <f t="shared" si="3"/>
        <v>0</v>
      </c>
    </row>
    <row r="298" spans="5:5" x14ac:dyDescent="0.3">
      <c r="E298" s="2">
        <f t="shared" si="3"/>
        <v>0</v>
      </c>
    </row>
    <row r="299" spans="5:5" x14ac:dyDescent="0.3">
      <c r="E299" s="2">
        <f t="shared" si="3"/>
        <v>0</v>
      </c>
    </row>
    <row r="300" spans="5:5" x14ac:dyDescent="0.3">
      <c r="E300" s="2">
        <f t="shared" si="3"/>
        <v>0</v>
      </c>
    </row>
    <row r="301" spans="5:5" x14ac:dyDescent="0.3">
      <c r="E301" s="2">
        <f t="shared" si="3"/>
        <v>0</v>
      </c>
    </row>
    <row r="302" spans="5:5" x14ac:dyDescent="0.3">
      <c r="E302" s="2">
        <f t="shared" si="3"/>
        <v>0</v>
      </c>
    </row>
    <row r="303" spans="5:5" x14ac:dyDescent="0.3">
      <c r="E303" s="2">
        <f t="shared" si="3"/>
        <v>0</v>
      </c>
    </row>
    <row r="304" spans="5:5" x14ac:dyDescent="0.3">
      <c r="E304" s="2">
        <f t="shared" si="3"/>
        <v>0</v>
      </c>
    </row>
    <row r="305" spans="5:5" x14ac:dyDescent="0.3">
      <c r="E305" s="2">
        <f t="shared" si="3"/>
        <v>0</v>
      </c>
    </row>
    <row r="306" spans="5:5" x14ac:dyDescent="0.3">
      <c r="E306" s="2">
        <f t="shared" si="3"/>
        <v>0</v>
      </c>
    </row>
    <row r="307" spans="5:5" x14ac:dyDescent="0.3">
      <c r="E307" s="2">
        <f t="shared" si="3"/>
        <v>0</v>
      </c>
    </row>
    <row r="308" spans="5:5" x14ac:dyDescent="0.3">
      <c r="E308" s="2">
        <f t="shared" si="3"/>
        <v>0</v>
      </c>
    </row>
    <row r="309" spans="5:5" x14ac:dyDescent="0.3">
      <c r="E309" s="2">
        <f t="shared" si="3"/>
        <v>0</v>
      </c>
    </row>
    <row r="310" spans="5:5" x14ac:dyDescent="0.3">
      <c r="E310" s="2">
        <f t="shared" si="3"/>
        <v>0</v>
      </c>
    </row>
    <row r="311" spans="5:5" x14ac:dyDescent="0.3">
      <c r="E311" s="2">
        <f t="shared" si="3"/>
        <v>0</v>
      </c>
    </row>
    <row r="312" spans="5:5" x14ac:dyDescent="0.3">
      <c r="E312" s="2">
        <f t="shared" si="3"/>
        <v>0</v>
      </c>
    </row>
    <row r="313" spans="5:5" x14ac:dyDescent="0.3">
      <c r="E313" s="2">
        <f t="shared" si="3"/>
        <v>0</v>
      </c>
    </row>
    <row r="314" spans="5:5" x14ac:dyDescent="0.3">
      <c r="E314" s="2">
        <f t="shared" si="3"/>
        <v>0</v>
      </c>
    </row>
    <row r="315" spans="5:5" x14ac:dyDescent="0.3">
      <c r="E315" s="2">
        <f t="shared" si="3"/>
        <v>0</v>
      </c>
    </row>
    <row r="316" spans="5:5" x14ac:dyDescent="0.3">
      <c r="E316" s="2">
        <f t="shared" si="3"/>
        <v>0</v>
      </c>
    </row>
    <row r="317" spans="5:5" x14ac:dyDescent="0.3">
      <c r="E317" s="2">
        <f t="shared" si="3"/>
        <v>0</v>
      </c>
    </row>
    <row r="318" spans="5:5" x14ac:dyDescent="0.3">
      <c r="E318" s="2">
        <f t="shared" si="3"/>
        <v>0</v>
      </c>
    </row>
    <row r="319" spans="5:5" x14ac:dyDescent="0.3">
      <c r="E319" s="2">
        <f t="shared" si="3"/>
        <v>0</v>
      </c>
    </row>
    <row r="320" spans="5:5" x14ac:dyDescent="0.3">
      <c r="E320" s="2">
        <f t="shared" si="3"/>
        <v>0</v>
      </c>
    </row>
    <row r="321" spans="5:5" x14ac:dyDescent="0.3">
      <c r="E321" s="2">
        <f t="shared" si="3"/>
        <v>0</v>
      </c>
    </row>
    <row r="322" spans="5:5" x14ac:dyDescent="0.3">
      <c r="E322" s="2">
        <f t="shared" si="3"/>
        <v>0</v>
      </c>
    </row>
    <row r="323" spans="5:5" x14ac:dyDescent="0.3">
      <c r="E323" s="2">
        <f t="shared" si="3"/>
        <v>0</v>
      </c>
    </row>
    <row r="324" spans="5:5" x14ac:dyDescent="0.3">
      <c r="E324" s="2">
        <f t="shared" si="3"/>
        <v>0</v>
      </c>
    </row>
    <row r="325" spans="5:5" x14ac:dyDescent="0.3">
      <c r="E325" s="2">
        <f t="shared" si="3"/>
        <v>0</v>
      </c>
    </row>
    <row r="326" spans="5:5" x14ac:dyDescent="0.3">
      <c r="E326" s="2">
        <f t="shared" si="3"/>
        <v>0</v>
      </c>
    </row>
    <row r="327" spans="5:5" x14ac:dyDescent="0.3">
      <c r="E327" s="2">
        <f t="shared" si="3"/>
        <v>0</v>
      </c>
    </row>
    <row r="328" spans="5:5" x14ac:dyDescent="0.3">
      <c r="E328" s="2">
        <f t="shared" si="3"/>
        <v>0</v>
      </c>
    </row>
    <row r="329" spans="5:5" x14ac:dyDescent="0.3">
      <c r="E329" s="2">
        <f t="shared" si="3"/>
        <v>0</v>
      </c>
    </row>
    <row r="330" spans="5:5" x14ac:dyDescent="0.3">
      <c r="E330" s="2">
        <f t="shared" si="3"/>
        <v>0</v>
      </c>
    </row>
    <row r="331" spans="5:5" x14ac:dyDescent="0.3">
      <c r="E331" s="2">
        <f t="shared" si="3"/>
        <v>0</v>
      </c>
    </row>
    <row r="332" spans="5:5" x14ac:dyDescent="0.3">
      <c r="E332" s="2">
        <f t="shared" si="3"/>
        <v>0</v>
      </c>
    </row>
    <row r="333" spans="5:5" x14ac:dyDescent="0.3">
      <c r="E333" s="2">
        <f t="shared" si="3"/>
        <v>0</v>
      </c>
    </row>
    <row r="334" spans="5:5" x14ac:dyDescent="0.3">
      <c r="E334" s="2">
        <f t="shared" si="3"/>
        <v>0</v>
      </c>
    </row>
    <row r="335" spans="5:5" x14ac:dyDescent="0.3">
      <c r="E335" s="2">
        <f t="shared" si="3"/>
        <v>0</v>
      </c>
    </row>
    <row r="336" spans="5:5" x14ac:dyDescent="0.3">
      <c r="E336" s="2">
        <f t="shared" si="3"/>
        <v>0</v>
      </c>
    </row>
    <row r="337" spans="5:5" x14ac:dyDescent="0.3">
      <c r="E337" s="2">
        <f t="shared" si="3"/>
        <v>0</v>
      </c>
    </row>
    <row r="338" spans="5:5" x14ac:dyDescent="0.3">
      <c r="E338" s="2">
        <f t="shared" si="3"/>
        <v>0</v>
      </c>
    </row>
    <row r="339" spans="5:5" x14ac:dyDescent="0.3">
      <c r="E339" s="2">
        <f t="shared" si="3"/>
        <v>0</v>
      </c>
    </row>
    <row r="340" spans="5:5" x14ac:dyDescent="0.3">
      <c r="E340" s="2">
        <f t="shared" si="3"/>
        <v>0</v>
      </c>
    </row>
    <row r="341" spans="5:5" x14ac:dyDescent="0.3">
      <c r="E341" s="2">
        <f t="shared" si="3"/>
        <v>0</v>
      </c>
    </row>
    <row r="342" spans="5:5" x14ac:dyDescent="0.3">
      <c r="E342" s="2">
        <f t="shared" si="3"/>
        <v>0</v>
      </c>
    </row>
    <row r="343" spans="5:5" x14ac:dyDescent="0.3">
      <c r="E343" s="2">
        <f t="shared" si="3"/>
        <v>0</v>
      </c>
    </row>
    <row r="344" spans="5:5" x14ac:dyDescent="0.3">
      <c r="E344" s="2">
        <f t="shared" si="3"/>
        <v>0</v>
      </c>
    </row>
  </sheetData>
  <phoneticPr fontId="1" type="noConversion"/>
  <conditionalFormatting sqref="C1:C1048576">
    <cfRule type="containsBlanks" dxfId="0" priority="1">
      <formula>LEN(TRIM(C1))=0</formula>
    </cfRule>
  </conditionalFormatting>
  <dataValidations count="2">
    <dataValidation type="decimal" operator="greaterThan" allowBlank="1" showInputMessage="1" showErrorMessage="1" sqref="F2:F1048576" xr:uid="{B93CC2DC-B85D-4A9C-96C1-5B8E36862DE2}">
      <formula1>0</formula1>
    </dataValidation>
    <dataValidation type="decimal" operator="lessThan" allowBlank="1" showInputMessage="1" showErrorMessage="1" sqref="G2:G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F16C7B-3110-4343-BAD4-CFED7211F3D3}">
          <x14:formula1>
            <xm:f>CATEGORIAS!$A$2:$A$13</xm:f>
          </x14:formula1>
          <xm:sqref>C345:C1048576</xm:sqref>
        </x14:dataValidation>
        <x14:dataValidation type="list" allowBlank="1" showInputMessage="1" showErrorMessage="1" xr:uid="{9414D1A0-62F3-4199-830F-802B44E96E89}">
          <x14:formula1>
            <xm:f>CATEGORIAS!$B$2:$B$15</xm:f>
          </x14:formula1>
          <xm:sqref>D2:D630</xm:sqref>
        </x14:dataValidation>
        <x14:dataValidation type="list" allowBlank="1" showInputMessage="1" showErrorMessage="1" xr:uid="{19FF79FF-A325-4FB5-A23B-777900416C1D}">
          <x14:formula1>
            <xm:f>CATEGORIAS!$A$2:$A$34</xm:f>
          </x14:formula1>
          <xm:sqref>C2:C344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5"/>
  <sheetViews>
    <sheetView workbookViewId="0">
      <selection activeCell="A15" sqref="A15"/>
    </sheetView>
  </sheetViews>
  <sheetFormatPr defaultRowHeight="14.4" x14ac:dyDescent="0.3"/>
  <cols>
    <col min="1" max="1" width="28.5546875" bestFit="1" customWidth="1"/>
    <col min="2" max="2" width="19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19</v>
      </c>
      <c r="B2" t="s">
        <v>28</v>
      </c>
    </row>
    <row r="3" spans="1:2" x14ac:dyDescent="0.3">
      <c r="A3" t="s">
        <v>16</v>
      </c>
      <c r="B3" t="s">
        <v>31</v>
      </c>
    </row>
    <row r="4" spans="1:2" x14ac:dyDescent="0.3">
      <c r="A4" t="s">
        <v>9</v>
      </c>
      <c r="B4" t="s">
        <v>30</v>
      </c>
    </row>
    <row r="5" spans="1:2" x14ac:dyDescent="0.3">
      <c r="A5" t="s">
        <v>14</v>
      </c>
      <c r="B5" t="s">
        <v>26</v>
      </c>
    </row>
    <row r="6" spans="1:2" x14ac:dyDescent="0.3">
      <c r="A6" t="s">
        <v>18</v>
      </c>
      <c r="B6" t="s">
        <v>25</v>
      </c>
    </row>
    <row r="7" spans="1:2" x14ac:dyDescent="0.3">
      <c r="A7" t="s">
        <v>11</v>
      </c>
      <c r="B7" t="s">
        <v>34</v>
      </c>
    </row>
    <row r="8" spans="1:2" x14ac:dyDescent="0.3">
      <c r="A8" t="s">
        <v>10</v>
      </c>
      <c r="B8" t="s">
        <v>24</v>
      </c>
    </row>
    <row r="9" spans="1:2" x14ac:dyDescent="0.3">
      <c r="A9" t="s">
        <v>15</v>
      </c>
      <c r="B9" t="s">
        <v>21</v>
      </c>
    </row>
    <row r="10" spans="1:2" x14ac:dyDescent="0.3">
      <c r="A10" t="s">
        <v>20</v>
      </c>
      <c r="B10" t="s">
        <v>27</v>
      </c>
    </row>
    <row r="11" spans="1:2" x14ac:dyDescent="0.3">
      <c r="A11" t="s">
        <v>17</v>
      </c>
      <c r="B11" t="s">
        <v>33</v>
      </c>
    </row>
    <row r="12" spans="1:2" x14ac:dyDescent="0.3">
      <c r="A12" t="s">
        <v>13</v>
      </c>
      <c r="B12" t="s">
        <v>29</v>
      </c>
    </row>
    <row r="13" spans="1:2" x14ac:dyDescent="0.3">
      <c r="A13" t="s">
        <v>12</v>
      </c>
      <c r="B13" t="s">
        <v>23</v>
      </c>
    </row>
    <row r="14" spans="1:2" x14ac:dyDescent="0.3">
      <c r="A14" t="s">
        <v>61</v>
      </c>
      <c r="B14" t="s">
        <v>32</v>
      </c>
    </row>
    <row r="15" spans="1:2" x14ac:dyDescent="0.3">
      <c r="B15" t="s">
        <v>22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MOVIMIENTOS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2026-06-01T18:25:50Z</dcterms:modified>
</cp:coreProperties>
</file>
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.shortcut-targets-by-id\1-SMUozvP3ijEuUXCZ8xvcSdgizVEpDE_\Desarrollos Ecox 2025\Contabilidades\02 Contable Tregualemu SpA\Respaldos 2025\"/>
    </mc:Choice>
  </mc:AlternateContent>
  <xr:revisionPtr revIDLastSave="0" documentId="13_ncr:1_{AD49C118-4565-41A7-9548-3868276B677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MOVIMIENTOS" sheetId="1" r:id="rId1"/>
    <sheet name="CATEGORIAS" sheetId="2" r:id="rId2"/>
  </sheets>
  <definedNames>
    <definedName name="_xlnm._FilterDatabase" localSheetId="0" hidden="1">MOVIMIENTOS!$A$1:$AA$51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l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</calcChain>
</file>

<file path=xl/sharedStrings.xml><?xml version="1.0" encoding="utf-8"?>
<sst xmlns="http://schemas.openxmlformats.org/spreadsheetml/2006/main" count="160" uniqueCount="55">
  <si>
    <t>DETALLE</t>
  </si>
  <si>
    <t>CATEGORIA</t>
  </si>
  <si>
    <t>SUB</t>
  </si>
  <si>
    <t>SALDO</t>
  </si>
  <si>
    <t>DEPOSITO</t>
  </si>
  <si>
    <t>GIROS</t>
  </si>
  <si>
    <t>COMENTARIO</t>
  </si>
  <si>
    <t>FECHA</t>
  </si>
  <si>
    <t>SALDO ANTERIOR</t>
  </si>
  <si>
    <t>GASTOS GENERALES</t>
  </si>
  <si>
    <t>NOTARIA Y CONSERVADOR</t>
  </si>
  <si>
    <t>MANDATO</t>
  </si>
  <si>
    <t>VENTA</t>
  </si>
  <si>
    <t>SUELDO Y LEYES SOCIALES</t>
  </si>
  <si>
    <t>IMPUESTOS</t>
  </si>
  <si>
    <t>OTRO</t>
  </si>
  <si>
    <t>FONDOS MUTUOS</t>
  </si>
  <si>
    <t>RETIRO</t>
  </si>
  <si>
    <t>LINEA DE CREDITO</t>
  </si>
  <si>
    <t>CUENTA CORRIENTE MERCANTIL</t>
  </si>
  <si>
    <t>PRESTAMO</t>
  </si>
  <si>
    <t>FUTRONO</t>
  </si>
  <si>
    <t>TREGUALEMU</t>
  </si>
  <si>
    <t>PLS</t>
  </si>
  <si>
    <t>FHB</t>
  </si>
  <si>
    <t>ECOX LLC</t>
  </si>
  <si>
    <t>COLBUN</t>
  </si>
  <si>
    <t>INTERES</t>
  </si>
  <si>
    <t>AGB</t>
  </si>
  <si>
    <t>PARQUE SUR</t>
  </si>
  <si>
    <t>CERRO COLORADO</t>
  </si>
  <si>
    <t>ASESORIAS ECOX</t>
  </si>
  <si>
    <t>TEMUCO</t>
  </si>
  <si>
    <t>LOS CHILCOS</t>
  </si>
  <si>
    <t>EREF</t>
  </si>
  <si>
    <t>0771605729 Transf de ECOX SPA</t>
  </si>
  <si>
    <t>0163673002 Transf a LECAROS SOTOMAYOR P</t>
  </si>
  <si>
    <t>0156407445 Transf a HIRIART BLOME FELIP</t>
  </si>
  <si>
    <t>0108590319 Transf a Bernardo Mellibosky Diez</t>
  </si>
  <si>
    <t>COM.MANTENCION PLAN</t>
  </si>
  <si>
    <t>SOLICITUD WEB N8782</t>
  </si>
  <si>
    <t>Rescate Fondos Mutuos</t>
  </si>
  <si>
    <t>PAGO EN LINEA S.I.I.</t>
  </si>
  <si>
    <t>Transf.Internet a 15.640.744-5</t>
  </si>
  <si>
    <t>Transf.Internet a 16.367.300-2</t>
  </si>
  <si>
    <t>0795464301 PAGO PROVEEDOR SOCIEDAD CO</t>
  </si>
  <si>
    <t>Inversión en Fondo Mutuo</t>
  </si>
  <si>
    <t>0777140248 Transf a ASESORÍAS ECOX LIMI</t>
  </si>
  <si>
    <t>Contabilidad</t>
  </si>
  <si>
    <t>Paga prestamo completamente</t>
  </si>
  <si>
    <t>F29</t>
  </si>
  <si>
    <t>0153769826 Transf a HIRIART BLOME JORGE</t>
  </si>
  <si>
    <t>Traspaso con la Cuenta N° 002002704180</t>
  </si>
  <si>
    <t>InteresesImpuesto Sobregiro / Uso LCA Línea de Crédito</t>
  </si>
  <si>
    <t>Prestamo por impuesto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</si>
</sst>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[$-409]dd\-mmm\-yy;@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Rubik"/>
    </font>
  </fonts>
  <fills count="4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3" xfId="0" applyFont="1" applyBorder="1" applyAlignment="1">
      <alignment wrapText="1"/>
    </xf>
    <xf numFmtId="164" fontId="0" fillId="0" borderId="0" xfId="1" applyNumberFormat="1" applyFont="1"/>
    <xf numFmtId="165" fontId="0" fillId="0" borderId="0" xfId="0" applyNumberFormat="1"/>
    <xf numFmtId="165" fontId="4" fillId="2" borderId="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center" wrapText="1"/>
    </xf>
    <xf numFmtId="0" fontId="0" fillId="3" borderId="0" xfId="0" applyFill="1"/>
  </cellXfs>
  <cellStyles count="2">
    <cellStyle name="Currency" xfId="1" builtinId="4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numFmt numFmtId="165" formatCode="[$-409]d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Rubik"/>
        <scheme val="none"/>
      </font>
      <numFmt numFmtId="164" formatCode="_(&quot;$&quot;* #,##0_);_(&quot;$&quot;* \(#,##0\);_(&quot;$&quot;* &quot;-&quot;??_);_(@_)"/>
      <fill>
        <patternFill patternType="solid">
          <fgColor indexed="64"/>
          <bgColor rgb="FFEFEFEF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21276C-191F-407C-B4D8-CA9C8B9CFF7A}" name="Table4" displayName="Table4" ref="A1:H80" totalsRowShown="0" headerRowDxfId="6" dataDxfId="4" headerRowBorderDxfId="5" headerRowCellStyle="Currency" dataCellStyle="Currency">
  <autoFilter ref="A1:H80" xr:uid="{2B21276C-191F-407C-B4D8-CA9C8B9CFF7A}"/>
  <tableColumns count="8">
    <tableColumn id="1" xr3:uid="{5E84B626-7920-4798-AA51-F9ECB5E9B37F}" name="FECHA" dataDxfId="3"/>
    <tableColumn id="2" xr3:uid="{0D347524-052D-44E4-9E6C-E9073BD72660}" name="DETALLE"/>
    <tableColumn id="3" xr3:uid="{CB73ADB7-9FAD-44C6-A6BE-C944C9BC6730}" name="CATEGORIA"/>
    <tableColumn id="4" xr3:uid="{DD053983-154B-4A50-8724-7D3A12FF2CAC}" name="SUB"/>
    <tableColumn id="5" xr3:uid="{6E4ADA49-04C1-48A3-A919-AE04C8F6F997}" name="SALDO" dataDxfId="2" dataCellStyle="Currency">
      <calculatedColumnFormula>+E1+F1+G1</calculatedColumnFormula>
    </tableColumn>
    <tableColumn id="6" xr3:uid="{8D307A1D-0C32-44D9-9874-81954F98C50E}" name="DEPOSITO" dataDxfId="1" dataCellStyle="Currency"/>
    <tableColumn id="7" xr3:uid="{3BA7BB6C-A04F-440A-9C95-19345F6CBF8A}" name="GIROS" dataDxfId="0" dataCellStyle="Currency"/>
    <tableColumn id="8" xr3:uid="{71225E0F-14DE-4AAA-9AF7-BBA76440529E}" name="COMENT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7AE28-2375-48C7-A656-DEEB93D52957}" name="Table1" displayName="Table1" ref="A1:A13" totalsRowShown="0">
  <autoFilter ref="A1:A13" xr:uid="{BAD7AE28-2375-48C7-A656-DEEB93D52957}"/>
  <tableColumns count="1">
    <tableColumn id="1" xr3:uid="{FEF01675-AE39-4947-90B4-FF4A152ABEB8}" name="CATEGOR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B82FD5-B412-4E0D-B077-4C640B1E542E}" name="Table2" displayName="Table2" ref="B1:B15" totalsRowShown="0">
  <autoFilter ref="B1:B15" xr:uid="{2BB82FD5-B412-4E0D-B077-4C640B1E542E}"/>
  <tableColumns count="1">
    <tableColumn id="1" xr3:uid="{C4DCE3EE-B2B2-48E4-94C9-F8A181717A95}" name="SU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0"/>
  <sheetViews>
    <sheetView tabSelected="1" workbookViewId="0">
      <selection activeCell="C81" sqref="C81"/>
    </sheetView>
  </sheetViews>
  <sheetFormatPr defaultRowHeight="14.4"/>
  <cols>
    <col min="1" max="1" width="12" style="3" customWidth="1"/>
    <col min="2" max="2" width="39.88671875" bestFit="1" customWidth="1"/>
    <col min="3" max="4" width="17.33203125" customWidth="1"/>
    <col min="5" max="7" width="17.33203125" style="2" customWidth="1"/>
    <col min="8" max="8" width="56.6640625" customWidth="1"/>
  </cols>
  <sheetData>
    <row r="1" spans="1:27" ht="15" thickBot="1">
      <c r="A1" s="4" t="s">
        <v>7</v>
      </c>
      <c r="B1" s="5" t="s">
        <v>0</v>
      </c>
      <c r="C1" s="5" t="s">
        <v>1</v>
      </c>
      <c r="D1" s="5" t="s">
        <v>2</v>
      </c>
      <c r="E1" s="6" t="s">
        <v>3</v>
      </c>
      <c r="F1" s="6" t="s">
        <v>4</v>
      </c>
      <c r="G1" s="6" t="s">
        <v>5</v>
      </c>
      <c r="H1" s="5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3">
        <v>45658</v>
      </c>
      <c r="B2" t="s">
        <v>8</v>
      </c>
      <c r="E2" s="2">
        <v>117033</v>
      </c>
    </row>
    <row r="3" spans="1:27">
      <c r="A3" s="3">
        <v>45660</v>
      </c>
      <c r="B3" t="s">
        <v>35</v>
      </c>
      <c r="C3" t="s">
        <v>20</v>
      </c>
      <c r="E3" s="2">
        <f>+E2+F2+G2</f>
        <v>117033</v>
      </c>
      <c r="F3" s="2">
        <v>12000000</v>
      </c>
    </row>
    <row r="4" spans="1:27">
      <c r="A4" s="3">
        <v>45660</v>
      </c>
      <c r="B4" t="s">
        <v>36</v>
      </c>
      <c r="C4" t="s">
        <v>17</v>
      </c>
      <c r="E4" s="2">
        <f t="shared" ref="E4:E50" si="0">+E3+F3+G3</f>
        <v>12117033</v>
      </c>
      <c r="G4" s="2">
        <v>-6000000</v>
      </c>
    </row>
    <row r="5" spans="1:27">
      <c r="A5" s="3">
        <v>45660</v>
      </c>
      <c r="B5" t="s">
        <v>37</v>
      </c>
      <c r="C5" t="s">
        <v>17</v>
      </c>
      <c r="E5" s="2">
        <f t="shared" si="0"/>
        <v>6117033</v>
      </c>
      <c r="G5" s="2">
        <v>-6000000</v>
      </c>
    </row>
    <row r="6" spans="1:27">
      <c r="A6" s="3">
        <v>45665</v>
      </c>
      <c r="B6" t="s">
        <v>38</v>
      </c>
      <c r="C6" t="s">
        <v>10</v>
      </c>
      <c r="E6" s="2">
        <f t="shared" si="0"/>
        <v>117033</v>
      </c>
      <c r="G6" s="2">
        <v>-19000</v>
      </c>
      <c r="H6" t="s">
        <v>40</v>
      </c>
    </row>
    <row r="7" spans="1:27">
      <c r="A7" s="3">
        <v>45686</v>
      </c>
      <c r="B7" t="s">
        <v>39</v>
      </c>
      <c r="C7" t="s">
        <v>9</v>
      </c>
      <c r="E7" s="2">
        <f t="shared" si="0"/>
        <v>98033</v>
      </c>
      <c r="G7" s="2">
        <v>-7687</v>
      </c>
    </row>
    <row r="8" spans="1:27">
      <c r="A8" s="3">
        <v>45714</v>
      </c>
      <c r="B8" t="s">
        <v>39</v>
      </c>
      <c r="C8" t="s">
        <v>9</v>
      </c>
      <c r="E8" s="2">
        <f t="shared" si="0"/>
        <v>90346</v>
      </c>
      <c r="G8" s="2">
        <v>-7681</v>
      </c>
    </row>
    <row r="9" spans="1:27">
      <c r="A9" s="3">
        <v>45743</v>
      </c>
      <c r="B9" t="s">
        <v>39</v>
      </c>
      <c r="C9" t="s">
        <v>9</v>
      </c>
      <c r="E9" s="2">
        <f t="shared" si="0"/>
        <v>82665</v>
      </c>
      <c r="G9" s="2">
        <v>-11594</v>
      </c>
    </row>
    <row r="10" spans="1:27">
      <c r="A10" s="3">
        <v>45749</v>
      </c>
      <c r="B10" t="s">
        <v>35</v>
      </c>
      <c r="C10" t="s">
        <v>20</v>
      </c>
      <c r="E10" s="2">
        <f t="shared" si="0"/>
        <v>71071</v>
      </c>
      <c r="F10" s="2">
        <v>12000000</v>
      </c>
    </row>
    <row r="11" spans="1:27">
      <c r="A11" s="3">
        <v>45749</v>
      </c>
      <c r="B11" t="s">
        <v>37</v>
      </c>
      <c r="C11" t="s">
        <v>17</v>
      </c>
      <c r="E11" s="2">
        <f t="shared" si="0"/>
        <v>12071071</v>
      </c>
      <c r="G11" s="2">
        <v>-6000000</v>
      </c>
    </row>
    <row r="12" spans="1:27">
      <c r="A12" s="3">
        <v>45749</v>
      </c>
      <c r="B12" t="s">
        <v>36</v>
      </c>
      <c r="C12" t="s">
        <v>17</v>
      </c>
      <c r="E12" s="2">
        <f t="shared" si="0"/>
        <v>6071071</v>
      </c>
      <c r="G12" s="2">
        <v>-6000000</v>
      </c>
    </row>
    <row r="13" spans="1:27">
      <c r="A13" s="3">
        <v>45772</v>
      </c>
      <c r="B13" t="s">
        <v>35</v>
      </c>
      <c r="C13" t="s">
        <v>20</v>
      </c>
      <c r="E13" s="2">
        <f t="shared" si="0"/>
        <v>71071</v>
      </c>
      <c r="F13" s="2">
        <v>3000000</v>
      </c>
    </row>
    <row r="14" spans="1:27">
      <c r="A14" s="3">
        <v>45772</v>
      </c>
      <c r="B14" t="s">
        <v>37</v>
      </c>
      <c r="C14" t="s">
        <v>17</v>
      </c>
      <c r="E14" s="2">
        <f t="shared" si="0"/>
        <v>3071071</v>
      </c>
      <c r="G14" s="2">
        <v>-1500000</v>
      </c>
    </row>
    <row r="15" spans="1:27">
      <c r="A15" s="3">
        <v>45772</v>
      </c>
      <c r="B15" t="s">
        <v>36</v>
      </c>
      <c r="C15" t="s">
        <v>17</v>
      </c>
      <c r="E15" s="2">
        <f t="shared" si="0"/>
        <v>1571071</v>
      </c>
      <c r="G15" s="2">
        <v>-1500000</v>
      </c>
    </row>
    <row r="16" spans="1:27">
      <c r="A16" s="3">
        <v>45775</v>
      </c>
      <c r="B16" t="s">
        <v>39</v>
      </c>
      <c r="C16" t="s">
        <v>9</v>
      </c>
      <c r="E16" s="2">
        <f t="shared" si="0"/>
        <v>71071</v>
      </c>
      <c r="G16" s="2">
        <v>-11668</v>
      </c>
    </row>
    <row r="17" spans="1:7">
      <c r="A17" s="3">
        <v>45777</v>
      </c>
      <c r="B17" t="s">
        <v>41</v>
      </c>
      <c r="C17" t="s">
        <v>16</v>
      </c>
      <c r="E17" s="2">
        <f t="shared" si="0"/>
        <v>59403</v>
      </c>
      <c r="F17" s="2">
        <v>3453962</v>
      </c>
    </row>
    <row r="18" spans="1:7">
      <c r="A18" s="3">
        <v>45777</v>
      </c>
      <c r="B18" t="s">
        <v>42</v>
      </c>
      <c r="C18" t="s">
        <v>14</v>
      </c>
      <c r="E18" s="2">
        <f t="shared" si="0"/>
        <v>3513365</v>
      </c>
      <c r="G18" s="2">
        <v>-2582637</v>
      </c>
    </row>
    <row r="19" spans="1:7">
      <c r="A19" s="3">
        <v>45782</v>
      </c>
      <c r="B19" t="s">
        <v>35</v>
      </c>
      <c r="C19" t="s">
        <v>20</v>
      </c>
      <c r="E19" s="2">
        <f t="shared" si="0"/>
        <v>930728</v>
      </c>
      <c r="F19" s="2">
        <v>14000000</v>
      </c>
    </row>
    <row r="20" spans="1:7">
      <c r="A20" s="3">
        <v>45782</v>
      </c>
      <c r="B20" t="s">
        <v>36</v>
      </c>
      <c r="C20" t="s">
        <v>17</v>
      </c>
      <c r="E20" s="2">
        <f t="shared" si="0"/>
        <v>14930728</v>
      </c>
      <c r="G20" s="2">
        <v>-7000000</v>
      </c>
    </row>
    <row r="21" spans="1:7">
      <c r="A21" s="3">
        <v>45782</v>
      </c>
      <c r="B21" t="s">
        <v>37</v>
      </c>
      <c r="C21" t="s">
        <v>17</v>
      </c>
      <c r="E21" s="2">
        <f t="shared" si="0"/>
        <v>7930728</v>
      </c>
      <c r="G21" s="2">
        <v>-7000000</v>
      </c>
    </row>
    <row r="22" spans="1:7">
      <c r="A22" s="3">
        <v>45805</v>
      </c>
      <c r="B22" t="s">
        <v>39</v>
      </c>
      <c r="C22" t="s">
        <v>9</v>
      </c>
      <c r="E22" s="2">
        <f t="shared" si="0"/>
        <v>930728</v>
      </c>
      <c r="G22" s="2">
        <v>-7819</v>
      </c>
    </row>
    <row r="23" spans="1:7">
      <c r="A23" s="3">
        <v>45810</v>
      </c>
      <c r="B23" t="s">
        <v>35</v>
      </c>
      <c r="C23" t="s">
        <v>20</v>
      </c>
      <c r="E23" s="2">
        <f t="shared" si="0"/>
        <v>922909</v>
      </c>
      <c r="F23" s="2">
        <v>2000000</v>
      </c>
    </row>
    <row r="24" spans="1:7">
      <c r="A24" s="3">
        <v>45810</v>
      </c>
      <c r="B24" t="s">
        <v>36</v>
      </c>
      <c r="C24" t="s">
        <v>17</v>
      </c>
      <c r="E24" s="2">
        <f t="shared" si="0"/>
        <v>2922909</v>
      </c>
      <c r="G24" s="2">
        <v>-1000000</v>
      </c>
    </row>
    <row r="25" spans="1:7">
      <c r="A25" s="3">
        <v>45810</v>
      </c>
      <c r="B25" t="s">
        <v>37</v>
      </c>
      <c r="C25" t="s">
        <v>17</v>
      </c>
      <c r="E25" s="2">
        <f t="shared" si="0"/>
        <v>1922909</v>
      </c>
      <c r="G25" s="2">
        <v>-1000000</v>
      </c>
    </row>
    <row r="26" spans="1:7">
      <c r="A26" s="3">
        <v>45811</v>
      </c>
      <c r="B26" t="s">
        <v>35</v>
      </c>
      <c r="C26" t="s">
        <v>20</v>
      </c>
      <c r="E26" s="2">
        <f t="shared" si="0"/>
        <v>922909</v>
      </c>
      <c r="F26" s="2">
        <v>12000000</v>
      </c>
    </row>
    <row r="27" spans="1:7">
      <c r="A27" s="3">
        <v>45811</v>
      </c>
      <c r="B27" t="s">
        <v>43</v>
      </c>
      <c r="C27" t="s">
        <v>17</v>
      </c>
      <c r="E27" s="2">
        <f t="shared" si="0"/>
        <v>12922909</v>
      </c>
      <c r="G27" s="2">
        <v>-6000000</v>
      </c>
    </row>
    <row r="28" spans="1:7">
      <c r="A28" s="3">
        <v>45811</v>
      </c>
      <c r="B28" t="s">
        <v>44</v>
      </c>
      <c r="C28" t="s">
        <v>17</v>
      </c>
      <c r="E28" s="2">
        <f t="shared" si="0"/>
        <v>6922909</v>
      </c>
      <c r="G28" s="2">
        <v>-6000000</v>
      </c>
    </row>
    <row r="29" spans="1:7">
      <c r="A29" s="3">
        <v>45825</v>
      </c>
      <c r="B29" t="s">
        <v>35</v>
      </c>
      <c r="C29" t="s">
        <v>20</v>
      </c>
      <c r="E29" s="2">
        <f t="shared" si="0"/>
        <v>922909</v>
      </c>
      <c r="F29" s="2">
        <v>17000000</v>
      </c>
    </row>
    <row r="30" spans="1:7">
      <c r="A30" s="3">
        <v>45825</v>
      </c>
      <c r="B30" t="s">
        <v>43</v>
      </c>
      <c r="C30" t="s">
        <v>17</v>
      </c>
      <c r="E30" s="2">
        <f t="shared" si="0"/>
        <v>17922909</v>
      </c>
      <c r="G30" s="2">
        <v>-8500000</v>
      </c>
    </row>
    <row r="31" spans="1:7">
      <c r="A31" s="3">
        <v>45825</v>
      </c>
      <c r="B31" t="s">
        <v>44</v>
      </c>
      <c r="C31" t="s">
        <v>17</v>
      </c>
      <c r="E31" s="2">
        <f t="shared" si="0"/>
        <v>9422909</v>
      </c>
      <c r="G31" s="2">
        <v>-8500000</v>
      </c>
    </row>
    <row r="32" spans="1:7">
      <c r="A32" s="3">
        <v>45834</v>
      </c>
      <c r="B32" t="s">
        <v>39</v>
      </c>
      <c r="C32" t="s">
        <v>9</v>
      </c>
      <c r="E32" s="2">
        <f t="shared" si="0"/>
        <v>922909</v>
      </c>
      <c r="G32" s="2">
        <v>-7841</v>
      </c>
    </row>
    <row r="33" spans="1:8">
      <c r="A33" s="3">
        <v>45839</v>
      </c>
      <c r="B33" t="s">
        <v>35</v>
      </c>
      <c r="C33" t="s">
        <v>20</v>
      </c>
      <c r="E33" s="2">
        <f t="shared" si="0"/>
        <v>915068</v>
      </c>
      <c r="F33" s="2">
        <v>7000000</v>
      </c>
    </row>
    <row r="34" spans="1:8">
      <c r="A34" s="3">
        <v>45839</v>
      </c>
      <c r="B34" t="s">
        <v>37</v>
      </c>
      <c r="C34" t="s">
        <v>17</v>
      </c>
      <c r="E34" s="2">
        <f t="shared" si="0"/>
        <v>7915068</v>
      </c>
      <c r="G34" s="2">
        <v>-3500000</v>
      </c>
    </row>
    <row r="35" spans="1:8">
      <c r="A35" s="3">
        <v>45839</v>
      </c>
      <c r="B35" t="s">
        <v>36</v>
      </c>
      <c r="C35" t="s">
        <v>17</v>
      </c>
      <c r="E35" s="2">
        <f t="shared" si="0"/>
        <v>4415068</v>
      </c>
      <c r="G35" s="2">
        <v>-3500000</v>
      </c>
    </row>
    <row r="36" spans="1:8">
      <c r="A36" s="3">
        <v>45840</v>
      </c>
      <c r="B36" t="s">
        <v>45</v>
      </c>
      <c r="C36" t="s">
        <v>12</v>
      </c>
      <c r="E36" s="2">
        <f t="shared" si="0"/>
        <v>915068</v>
      </c>
      <c r="F36" s="2">
        <v>7666040</v>
      </c>
    </row>
    <row r="37" spans="1:8">
      <c r="A37" s="3">
        <v>45840</v>
      </c>
      <c r="B37" t="s">
        <v>35</v>
      </c>
      <c r="C37" t="s">
        <v>20</v>
      </c>
      <c r="E37" s="2">
        <f t="shared" si="0"/>
        <v>8581108</v>
      </c>
      <c r="F37" s="2">
        <v>5000000</v>
      </c>
    </row>
    <row r="38" spans="1:8">
      <c r="A38" s="3">
        <v>45840</v>
      </c>
      <c r="B38" t="s">
        <v>36</v>
      </c>
      <c r="C38" t="s">
        <v>17</v>
      </c>
      <c r="E38" s="2">
        <f t="shared" si="0"/>
        <v>13581108</v>
      </c>
      <c r="G38" s="2">
        <v>-2500000</v>
      </c>
    </row>
    <row r="39" spans="1:8">
      <c r="A39" s="3">
        <v>45840</v>
      </c>
      <c r="B39" t="s">
        <v>37</v>
      </c>
      <c r="C39" t="s">
        <v>17</v>
      </c>
      <c r="E39" s="2">
        <f t="shared" si="0"/>
        <v>11081108</v>
      </c>
      <c r="G39" s="2">
        <v>-2500000</v>
      </c>
    </row>
    <row r="40" spans="1:8">
      <c r="A40" s="3">
        <v>45840</v>
      </c>
      <c r="B40" t="s">
        <v>46</v>
      </c>
      <c r="C40" t="s">
        <v>16</v>
      </c>
      <c r="E40" s="2">
        <f t="shared" si="0"/>
        <v>8581108</v>
      </c>
      <c r="G40" s="2">
        <v>-8400000</v>
      </c>
    </row>
    <row r="41" spans="1:8">
      <c r="A41" s="3">
        <v>45867</v>
      </c>
      <c r="B41" t="s">
        <v>39</v>
      </c>
      <c r="C41" t="s">
        <v>9</v>
      </c>
      <c r="E41" s="2">
        <f t="shared" si="0"/>
        <v>181108</v>
      </c>
      <c r="G41" s="2">
        <v>-7857</v>
      </c>
    </row>
    <row r="42" spans="1:8">
      <c r="A42" s="3">
        <v>45873</v>
      </c>
      <c r="B42" t="s">
        <v>35</v>
      </c>
      <c r="C42" t="s">
        <v>20</v>
      </c>
      <c r="E42" s="2">
        <f t="shared" si="0"/>
        <v>173251</v>
      </c>
      <c r="F42" s="2">
        <v>39137836</v>
      </c>
      <c r="H42" t="s">
        <v>49</v>
      </c>
    </row>
    <row r="43" spans="1:8">
      <c r="A43" s="3">
        <v>45873</v>
      </c>
      <c r="B43" t="s">
        <v>37</v>
      </c>
      <c r="C43" t="s">
        <v>17</v>
      </c>
      <c r="E43" s="2">
        <f t="shared" si="0"/>
        <v>39311087</v>
      </c>
      <c r="G43" s="2">
        <v>-19568918</v>
      </c>
    </row>
    <row r="44" spans="1:8">
      <c r="A44" s="3">
        <v>45873</v>
      </c>
      <c r="B44" t="s">
        <v>36</v>
      </c>
      <c r="C44" t="s">
        <v>17</v>
      </c>
      <c r="E44" s="2">
        <f t="shared" si="0"/>
        <v>19742169</v>
      </c>
      <c r="G44" s="2">
        <v>-19568918</v>
      </c>
    </row>
    <row r="45" spans="1:8">
      <c r="A45" s="3">
        <v>45874</v>
      </c>
      <c r="B45" t="s">
        <v>47</v>
      </c>
      <c r="C45" t="s">
        <v>9</v>
      </c>
      <c r="E45" s="2">
        <f t="shared" si="0"/>
        <v>173251</v>
      </c>
      <c r="G45" s="2">
        <v>-100000</v>
      </c>
      <c r="H45" t="s">
        <v>48</v>
      </c>
    </row>
    <row r="46" spans="1:8">
      <c r="A46" s="3">
        <v>45880</v>
      </c>
      <c r="B46" t="s">
        <v>42</v>
      </c>
      <c r="C46" t="s">
        <v>9</v>
      </c>
      <c r="E46" s="2">
        <f t="shared" si="0"/>
        <v>73251</v>
      </c>
      <c r="G46" s="2">
        <v>-14666</v>
      </c>
      <c r="H46" t="s">
        <v>50</v>
      </c>
    </row>
    <row r="47" spans="1:8">
      <c r="A47" s="3">
        <v>45880</v>
      </c>
      <c r="B47" t="s">
        <v>42</v>
      </c>
      <c r="C47" t="s">
        <v>9</v>
      </c>
      <c r="E47" s="2">
        <f t="shared" si="0"/>
        <v>58585</v>
      </c>
      <c r="G47" s="2">
        <v>-9583</v>
      </c>
    </row>
    <row r="48" spans="1:8">
      <c r="A48" s="3">
        <v>45896</v>
      </c>
      <c r="B48" t="s">
        <v>39</v>
      </c>
      <c r="C48" t="s">
        <v>9</v>
      </c>
      <c r="E48" s="2">
        <f t="shared" si="0"/>
        <v>49002</v>
      </c>
      <c r="G48" s="2">
        <v>-7840</v>
      </c>
    </row>
    <row r="49" spans="1:8">
      <c r="A49" s="3">
        <v>45904</v>
      </c>
      <c r="B49" t="s">
        <v>41</v>
      </c>
      <c r="C49" t="s">
        <v>16</v>
      </c>
      <c r="E49" s="2">
        <f t="shared" si="0"/>
        <v>41162</v>
      </c>
      <c r="F49" s="2">
        <v>8451562</v>
      </c>
    </row>
    <row r="50" spans="1:8">
      <c r="A50" s="3">
        <v>45905</v>
      </c>
      <c r="B50" t="s">
        <v>47</v>
      </c>
      <c r="C50" t="s">
        <v>9</v>
      </c>
      <c r="E50" s="2">
        <f t="shared" si="0"/>
        <v>8492724</v>
      </c>
      <c r="G50" s="2">
        <v>-100000</v>
      </c>
      <c r="H50" t="s">
        <v>48</v>
      </c>
    </row>
    <row r="51" spans="1:8">
      <c r="A51" s="3">
        <v>45909</v>
      </c>
      <c r="B51" t="s">
        <v>51</v>
      </c>
      <c r="C51" t="s">
        <v>17</v>
      </c>
      <c r="E51" s="2">
        <f>+E50+F50+G50</f>
        <v>8392724</v>
      </c>
      <c r="G51" s="2">
        <v>-250000</v>
      </c>
    </row>
    <row r="52" spans="1:8">
      <c r="A52" s="3">
        <v>45909</v>
      </c>
      <c r="B52" t="s">
        <v>37</v>
      </c>
      <c r="C52" t="s">
        <v>17</v>
      </c>
      <c r="E52" s="2">
        <f t="shared" ref="E52:E80" si="1">+E51+F51+G51</f>
        <v>8142724</v>
      </c>
      <c r="G52" s="2">
        <v>-2557090</v>
      </c>
    </row>
    <row r="53" spans="1:8">
      <c r="A53" s="3">
        <v>45909</v>
      </c>
      <c r="B53" t="s">
        <v>36</v>
      </c>
      <c r="C53" t="s">
        <v>17</v>
      </c>
      <c r="E53" s="2">
        <f t="shared" si="1"/>
        <v>5585634</v>
      </c>
      <c r="G53" s="2">
        <v>-2557090</v>
      </c>
    </row>
    <row r="54" spans="1:8">
      <c r="A54" s="3">
        <v>45909</v>
      </c>
      <c r="B54" t="s">
        <v>47</v>
      </c>
      <c r="C54" t="s">
        <v>9</v>
      </c>
      <c r="E54" s="2">
        <f t="shared" si="1"/>
        <v>3028544</v>
      </c>
      <c r="G54" s="2">
        <v>-1000000</v>
      </c>
      <c r="H54" t="s">
        <v>48</v>
      </c>
    </row>
    <row r="55" spans="1:8">
      <c r="A55" s="3">
        <v>45909</v>
      </c>
      <c r="B55" t="s">
        <v>47</v>
      </c>
      <c r="C55" s="7" t="s">
        <v>20</v>
      </c>
      <c r="E55" s="2">
        <f t="shared" si="1"/>
        <v>2028544</v>
      </c>
      <c r="G55" s="2">
        <v>-1000000</v>
      </c>
      <c r="H55" t="s">
        <v>54</v>
      </c>
    </row>
    <row r="56" spans="1:8">
      <c r="A56" s="3">
        <v>45910</v>
      </c>
      <c r="B56" t="s">
        <v>51</v>
      </c>
      <c r="C56" t="s">
        <v>17</v>
      </c>
      <c r="E56" s="2">
        <f t="shared" si="1"/>
        <v>1028544</v>
      </c>
      <c r="G56" s="2">
        <v>-1028544</v>
      </c>
    </row>
    <row r="57" spans="1:8">
      <c r="A57" s="3">
        <v>45926</v>
      </c>
      <c r="B57" t="s">
        <v>39</v>
      </c>
      <c r="C57" t="s">
        <v>9</v>
      </c>
      <c r="E57" s="2">
        <f t="shared" si="1"/>
        <v>0</v>
      </c>
      <c r="G57" s="2">
        <v>-7876</v>
      </c>
    </row>
    <row r="58" spans="1:8">
      <c r="A58" s="3">
        <v>45926</v>
      </c>
      <c r="B58" t="s">
        <v>52</v>
      </c>
      <c r="C58" t="s">
        <v>18</v>
      </c>
      <c r="E58" s="2">
        <f t="shared" si="1"/>
        <v>-7876</v>
      </c>
      <c r="F58" s="2">
        <v>7876</v>
      </c>
    </row>
    <row r="59" spans="1:8">
      <c r="A59" s="3">
        <v>45932</v>
      </c>
      <c r="B59" t="s">
        <v>53</v>
      </c>
      <c r="C59" t="s">
        <v>18</v>
      </c>
      <c r="E59" s="2">
        <f t="shared" si="1"/>
        <v>0</v>
      </c>
      <c r="G59" s="2">
        <v>-41</v>
      </c>
    </row>
    <row r="60" spans="1:8">
      <c r="A60" s="3">
        <v>45932</v>
      </c>
      <c r="B60" t="s">
        <v>52</v>
      </c>
      <c r="C60" t="s">
        <v>18</v>
      </c>
      <c r="E60" s="2">
        <f t="shared" si="1"/>
        <v>-41</v>
      </c>
      <c r="G60" s="2">
        <v>-5</v>
      </c>
    </row>
    <row r="61" spans="1:8">
      <c r="E61" s="2">
        <f t="shared" si="1"/>
        <v>-46</v>
      </c>
      <c r="F61" s="2">
        <v>46</v>
      </c>
    </row>
    <row r="62" spans="1:8">
      <c r="E62" s="2">
        <f t="shared" si="1"/>
        <v>0</v>
      </c>
    </row>
    <row r="63" spans="1:8">
      <c r="E63" s="2">
        <f t="shared" si="1"/>
        <v>0</v>
      </c>
    </row>
    <row r="64" spans="1:8">
      <c r="E64" s="2">
        <f t="shared" si="1"/>
        <v>0</v>
      </c>
    </row>
    <row r="65" spans="5:5">
      <c r="E65" s="2">
        <f t="shared" si="1"/>
        <v>0</v>
      </c>
    </row>
    <row r="66" spans="5:5">
      <c r="E66" s="2">
        <f t="shared" si="1"/>
        <v>0</v>
      </c>
    </row>
    <row r="67" spans="5:5">
      <c r="E67" s="2">
        <f t="shared" si="1"/>
        <v>0</v>
      </c>
    </row>
    <row r="68" spans="5:5">
      <c r="E68" s="2">
        <f t="shared" si="1"/>
        <v>0</v>
      </c>
    </row>
    <row r="69" spans="5:5">
      <c r="E69" s="2">
        <f t="shared" si="1"/>
        <v>0</v>
      </c>
    </row>
    <row r="70" spans="5:5">
      <c r="E70" s="2">
        <f t="shared" si="1"/>
        <v>0</v>
      </c>
    </row>
    <row r="71" spans="5:5">
      <c r="E71" s="2">
        <f t="shared" si="1"/>
        <v>0</v>
      </c>
    </row>
    <row r="72" spans="5:5">
      <c r="E72" s="2">
        <f t="shared" si="1"/>
        <v>0</v>
      </c>
    </row>
    <row r="73" spans="5:5">
      <c r="E73" s="2">
        <f t="shared" si="1"/>
        <v>0</v>
      </c>
    </row>
    <row r="74" spans="5:5">
      <c r="E74" s="2">
        <f t="shared" si="1"/>
        <v>0</v>
      </c>
    </row>
    <row r="75" spans="5:5">
      <c r="E75" s="2">
        <f t="shared" si="1"/>
        <v>0</v>
      </c>
    </row>
    <row r="76" spans="5:5">
      <c r="E76" s="2">
        <f t="shared" si="1"/>
        <v>0</v>
      </c>
    </row>
    <row r="77" spans="5:5">
      <c r="E77" s="2">
        <f t="shared" si="1"/>
        <v>0</v>
      </c>
    </row>
    <row r="78" spans="5:5">
      <c r="E78" s="2">
        <f t="shared" si="1"/>
        <v>0</v>
      </c>
    </row>
    <row r="79" spans="5:5">
      <c r="E79" s="2">
        <f t="shared" si="1"/>
        <v>0</v>
      </c>
    </row>
    <row r="80" spans="5:5">
      <c r="E80" s="2">
        <f t="shared" si="1"/>
        <v>0</v>
      </c>
    </row>
  </sheetData>
  <phoneticPr fontId="2" type="noConversion"/>
  <dataValidations count="2">
    <dataValidation type="decimal" operator="greaterThan" allowBlank="1" showInputMessage="1" showErrorMessage="1" sqref="F2:F1048576" xr:uid="{B93CC2DC-B85D-4A9C-96C1-5B8E36862DE2}">
      <formula1>0</formula1>
    </dataValidation>
    <dataValidation type="decimal" operator="lessThan" allowBlank="1" showInputMessage="1" showErrorMessage="1" sqref="G2:G1048576" xr:uid="{D2D4C543-2793-45C3-9DB8-33388037FCF9}">
      <formula1>0</formula1>
    </dataValidation>
  </dataValidations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14D1A0-62F3-4199-830F-802B44E96E89}">
          <x14:formula1>
            <xm:f>CATEGORIAS!$B$2:$B$15</xm:f>
          </x14:formula1>
          <xm:sqref>D2</xm:sqref>
        </x14:dataValidation>
        <x14:dataValidation type="list" allowBlank="1" showInputMessage="1" showErrorMessage="1" xr:uid="{A1F16C7B-3110-4343-BAD4-CFED7211F3D3}">
          <x14:formula1>
            <xm:f>CATEGORIAS!$A$2:$A$13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9E68-493F-491E-9566-7DA17BB5F7E5}">
  <dimension ref="A1:B15"/>
  <sheetViews>
    <sheetView workbookViewId="0">
      <selection activeCell="G11" sqref="G11"/>
    </sheetView>
  </sheetViews>
  <sheetFormatPr defaultRowHeight="14.4"/>
  <cols>
    <col min="1" max="1" width="28.5546875" bestFit="1" customWidth="1"/>
    <col min="2" max="2" width="19" customWidth="1"/>
  </cols>
  <sheetData>
    <row r="1" spans="1:2">
      <c r="A1" t="s">
        <v>1</v>
      </c>
      <c r="B1" t="s">
        <v>2</v>
      </c>
    </row>
    <row r="2" spans="1:2">
      <c r="A2" t="s">
        <v>19</v>
      </c>
      <c r="B2" t="s">
        <v>28</v>
      </c>
    </row>
    <row r="3" spans="1:2">
      <c r="A3" t="s">
        <v>16</v>
      </c>
      <c r="B3" t="s">
        <v>31</v>
      </c>
    </row>
    <row r="4" spans="1:2">
      <c r="A4" t="s">
        <v>9</v>
      </c>
      <c r="B4" t="s">
        <v>30</v>
      </c>
    </row>
    <row r="5" spans="1:2">
      <c r="A5" t="s">
        <v>14</v>
      </c>
      <c r="B5" t="s">
        <v>26</v>
      </c>
    </row>
    <row r="6" spans="1:2">
      <c r="A6" t="s">
        <v>18</v>
      </c>
      <c r="B6" t="s">
        <v>25</v>
      </c>
    </row>
    <row r="7" spans="1:2">
      <c r="A7" t="s">
        <v>11</v>
      </c>
      <c r="B7" t="s">
        <v>34</v>
      </c>
    </row>
    <row r="8" spans="1:2">
      <c r="A8" t="s">
        <v>10</v>
      </c>
      <c r="B8" t="s">
        <v>24</v>
      </c>
    </row>
    <row r="9" spans="1:2">
      <c r="A9" t="s">
        <v>15</v>
      </c>
      <c r="B9" t="s">
        <v>21</v>
      </c>
    </row>
    <row r="10" spans="1:2">
      <c r="A10" t="s">
        <v>20</v>
      </c>
      <c r="B10" t="s">
        <v>27</v>
      </c>
    </row>
    <row r="11" spans="1:2">
      <c r="A11" t="s">
        <v>17</v>
      </c>
      <c r="B11" t="s">
        <v>33</v>
      </c>
    </row>
    <row r="12" spans="1:2">
      <c r="A12" t="s">
        <v>13</v>
      </c>
      <c r="B12" t="s">
        <v>29</v>
      </c>
    </row>
    <row r="13" spans="1:2">
      <c r="A13" t="s">
        <v>12</v>
      </c>
      <c r="B13" t="s">
        <v>23</v>
      </c>
    </row>
    <row r="14" spans="1:2">
      <c r="B14" t="s">
        <v>32</v>
      </c>
    </row>
    <row r="15" spans="1:2">
      <c r="B15" t="s">
        <v>22</v>
      </c>
    </row>
  </sheetData>
  <sortState xmlns:xlrd2="http://schemas.microsoft.com/office/spreadsheetml/2017/richdata2" ref="B2:B15">
    <sortCondition ref="B2:B15"/>
  </sortState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Lecaros</dc:creator>
  <cp:lastModifiedBy>Benjamin Lecaros</cp:lastModifiedBy>
  <dcterms:created xsi:type="dcterms:W3CDTF">2015-06-05T18:17:20Z</dcterms:created>
  <dcterms:modified xsi:type="dcterms:W3CDTF">2025-10-15T21:22:31Z</dcterms:modified>
</cp:coreProperties>
</file>
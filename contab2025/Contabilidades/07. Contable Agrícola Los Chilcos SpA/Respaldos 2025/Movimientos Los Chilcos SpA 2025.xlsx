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.shortcut-targets-by-id\1-SMUozvP3ijEuUXCZ8xvcSdgizVEpDE_\Desarrollos Ecox 2025\Contabilidades\07. Contable Agrícola Los Chilcos SpA\Respaldos 2025\"/>
    </mc:Choice>
  </mc:AlternateContent>
  <xr:revisionPtr revIDLastSave="0" documentId="13_ncr:1_{586E9BA2-4200-4144-84ED-7377324E929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sumen" sheetId="4" r:id="rId1"/>
    <sheet name="MOVIMIENTOS" sheetId="1" r:id="rId2"/>
    <sheet name="CATEGORIAS" sheetId="2" r:id="rId3"/>
    <sheet name="Rendiciones de Gastos" sheetId="3" r:id="rId4"/>
  </sheets>
  <definedNames>
    <definedName name="_xlnm._FilterDatabase" localSheetId="1" hidden="1">MOVIMIENTOS!$A$1:$I$334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2" i="1" l="1"/>
  <c r="D265" i="3"/>
  <c r="D258" i="3"/>
  <c r="D246" i="3"/>
  <c r="D229" i="3"/>
  <c r="D207" i="3"/>
  <c r="D178" i="3"/>
  <c r="D155" i="3"/>
  <c r="D129" i="3"/>
  <c r="D110" i="3"/>
  <c r="D87" i="3"/>
  <c r="D79" i="3"/>
  <c r="D49" i="3"/>
  <c r="D28" i="3"/>
  <c r="D12" i="3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D7" i="4"/>
  <c r="D5" i="4"/>
  <c r="D12" i="4"/>
  <c r="D4" i="4"/>
  <c r="D6" i="4"/>
  <c r="D10" i="4"/>
  <c r="D9" i="4"/>
  <c r="D8" i="4"/>
  <c r="F124" i="1" l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</calcChain>
</file>

<file path=xl/sharedStrings.xml><?xml version="1.0" encoding="utf-8"?>
<sst xmlns="http://schemas.openxmlformats.org/spreadsheetml/2006/main" count="2426" uniqueCount="620">
  <si>
    <t>DETALLE</t>
  </si>
  <si>
    <t>CATEGORIA</t>
  </si>
  <si>
    <t>SUB</t>
  </si>
  <si>
    <t>SALDO</t>
  </si>
  <si>
    <t>DEPOSITO</t>
  </si>
  <si>
    <t>GIROS</t>
  </si>
  <si>
    <t>COMENTARIO</t>
  </si>
  <si>
    <t>FECHA</t>
  </si>
  <si>
    <t>SALDO ANTERIOR</t>
  </si>
  <si>
    <t>GASTOS GENERALES</t>
  </si>
  <si>
    <t>NOTARIA Y CONSERVADOR</t>
  </si>
  <si>
    <t>MANDATO</t>
  </si>
  <si>
    <t>VENTA</t>
  </si>
  <si>
    <t>SUELDO Y LEYES SOCIALES</t>
  </si>
  <si>
    <t>IMPUESTOS</t>
  </si>
  <si>
    <t>OTRO</t>
  </si>
  <si>
    <t>FONDOS MUTUOS</t>
  </si>
  <si>
    <t>RETIRO</t>
  </si>
  <si>
    <t>LINEA DE CREDITO</t>
  </si>
  <si>
    <t>CUENTA CORRIENTE MERCANTIL</t>
  </si>
  <si>
    <t>PRESTAMO</t>
  </si>
  <si>
    <t>FUTRONO</t>
  </si>
  <si>
    <t>TREGUALEMU</t>
  </si>
  <si>
    <t>PLS</t>
  </si>
  <si>
    <t>FHB</t>
  </si>
  <si>
    <t>ECOX LLC</t>
  </si>
  <si>
    <t>COLBUN</t>
  </si>
  <si>
    <t>INTERES</t>
  </si>
  <si>
    <t>AGB</t>
  </si>
  <si>
    <t>PARQUE SUR</t>
  </si>
  <si>
    <t>CERRO COLORADO</t>
  </si>
  <si>
    <t>ASESORIAS ECOX</t>
  </si>
  <si>
    <t>TEMUCO</t>
  </si>
  <si>
    <t>LOS CHILCOS</t>
  </si>
  <si>
    <t>EREF</t>
  </si>
  <si>
    <t>Traspaso A: Construcciones Del Ranco Spa</t>
  </si>
  <si>
    <t>Traspaso De: Pedro Jose Lecaros Sotomayor</t>
  </si>
  <si>
    <t>Traspaso A: La Nube Fotografia Ltda.</t>
  </si>
  <si>
    <t>Traspaso De: Jose Miguel Parro</t>
  </si>
  <si>
    <t>Traspaso De: Carlos Alberto Cespedes Lopez</t>
  </si>
  <si>
    <t>Traspaso A: Conrad Pablo Zlch Parra</t>
  </si>
  <si>
    <t>Traspaso A: Asesorias Ecox Spa</t>
  </si>
  <si>
    <t>Traspaso A: Andres Rieutord</t>
  </si>
  <si>
    <t>Traspaso De: Inversiones Jopa Limitada</t>
  </si>
  <si>
    <t>Traspaso A: Geotim Ltda</t>
  </si>
  <si>
    <t>Traspaso De: Luis Eduardo Salas Ojeda</t>
  </si>
  <si>
    <t>Traspaso De: Katherinne Andrea Orellana Saez</t>
  </si>
  <si>
    <t>Traspaso De: Marco Sebast?iacute?an</t>
  </si>
  <si>
    <t>App-traspaso De: Inversiones Jopa Limitada</t>
  </si>
  <si>
    <t>Traspaso De: Nicole Odette Rojas Bahamondes</t>
  </si>
  <si>
    <t>Traspaso De: Camila Stefany Diaz Duran</t>
  </si>
  <si>
    <t>Traspaso A: Sinergia Austral Spa</t>
  </si>
  <si>
    <t>Traspaso A: Hernan Pizarro</t>
  </si>
  <si>
    <t>Servicio contable</t>
  </si>
  <si>
    <t>inscripcion servidumbre caminos</t>
  </si>
  <si>
    <t>inscripcion servidumbre caminos E1</t>
  </si>
  <si>
    <t>Reserva C-18</t>
  </si>
  <si>
    <t>Pago la nube</t>
  </si>
  <si>
    <t>Reglamento</t>
  </si>
  <si>
    <t>Reserva B-11</t>
  </si>
  <si>
    <t>Reserva C-14</t>
  </si>
  <si>
    <t>Porton completa estado de pago 1</t>
  </si>
  <si>
    <t>Completa pago 30 porciento inicial, tranqueras</t>
  </si>
  <si>
    <t>Abono parcial a primer 50 por ciento caminos</t>
  </si>
  <si>
    <t>Abono primera mitad caminos</t>
  </si>
  <si>
    <t>Estado de Pago 1 Tranqueras Los Chilcos</t>
  </si>
  <si>
    <t>Estado de pago 2 Acceso Chilcos</t>
  </si>
  <si>
    <t>Tubo Corrugado HDPE 600 mm Agricola Los Chilcos</t>
  </si>
  <si>
    <t>Traspaso De: Servicios Psicologicos Integrales Spa</t>
  </si>
  <si>
    <t>Traspaso De: Cristian Andres Vera Gutierrez</t>
  </si>
  <si>
    <t>Parte 1 reserva A16/17/18</t>
  </si>
  <si>
    <t>Estado de pago 3</t>
  </si>
  <si>
    <t>Traspaso De: Jose Miguel Parro Fluxa</t>
  </si>
  <si>
    <t>Traspaso De: Mauricio Ignacio Fuentes Rodriguez</t>
  </si>
  <si>
    <t>Traspaso A: Camila Stefany Diaz Duran</t>
  </si>
  <si>
    <t>Reembolsa envio planos Stgo</t>
  </si>
  <si>
    <t>Parte 2 reserva A16/17/18</t>
  </si>
  <si>
    <t>Reserva A-10</t>
  </si>
  <si>
    <t>Reserva A14</t>
  </si>
  <si>
    <t>Reserva A10</t>
  </si>
  <si>
    <t>Reserva A15</t>
  </si>
  <si>
    <t>Devolucion reserva C14</t>
  </si>
  <si>
    <t>Traspaso De: Felipe Leopoldo Pardo Vasquez</t>
  </si>
  <si>
    <t>Reserva B-14</t>
  </si>
  <si>
    <t>Cargo Por Aplicacion De Dividendo</t>
  </si>
  <si>
    <t>Pago Automatico Tarjeta De Credito</t>
  </si>
  <si>
    <t>Traspaso De: Claudio Andr?eacute?s</t>
  </si>
  <si>
    <t>Reserva B-12</t>
  </si>
  <si>
    <t>Traspaso De: Molina Saavedra Alberto Ricardo</t>
  </si>
  <si>
    <t>Reserva B-8</t>
  </si>
  <si>
    <t>Traspaso De: Lisssette Patricia Riquelme Martinez</t>
  </si>
  <si>
    <t>Traspaso De: Rodolfo Alexis Utreras</t>
  </si>
  <si>
    <t>Reserva B-9</t>
  </si>
  <si>
    <t>Traspaso A: Lissette Riquelme</t>
  </si>
  <si>
    <t>Reembolso reserva B-8</t>
  </si>
  <si>
    <t>Traspaso De: Edelmira Zulema Reyes Urbina</t>
  </si>
  <si>
    <t>Reserva B-6</t>
  </si>
  <si>
    <t>Reserva B-7</t>
  </si>
  <si>
    <t>Traspaso De: San Martin Vargas Carlos Eduardo</t>
  </si>
  <si>
    <t>Reserva B-13</t>
  </si>
  <si>
    <t>Traspaso De: Hector Bernardo Maldonado Munoz</t>
  </si>
  <si>
    <t>Reserva B-16</t>
  </si>
  <si>
    <t>Traspaso De: Lizzette Guajardo Vargas</t>
  </si>
  <si>
    <t>Reserva A-9</t>
  </si>
  <si>
    <t>Traspaso De: Johanns Edward Agurto Rozas</t>
  </si>
  <si>
    <t>Reserva C-17</t>
  </si>
  <si>
    <t>Copia plano inscrito</t>
  </si>
  <si>
    <t>Pago En Sii.cl*</t>
  </si>
  <si>
    <t>Traspaso A: Benjamin Lecaros</t>
  </si>
  <si>
    <t>Deposito En Efectivo N° 2941600</t>
  </si>
  <si>
    <t>Promesa Katherine A-10</t>
  </si>
  <si>
    <t>Comision Anual Linea De Credito Automatica</t>
  </si>
  <si>
    <t>Traspaso De: Valentina Michelle Aranda Espinoza</t>
  </si>
  <si>
    <t>Reserva A-5</t>
  </si>
  <si>
    <t>Traspaso A: Servicios Psicologicos Integrales</t>
  </si>
  <si>
    <t>Reembolso reserva A-13</t>
  </si>
  <si>
    <t>Tekkrom</t>
  </si>
  <si>
    <t>Dep.cheq.otros Bancos N° 4485178</t>
  </si>
  <si>
    <t>Deposito Con Cheque Mismo Banco N° 3956722</t>
  </si>
  <si>
    <t>Pie parcela A-5</t>
  </si>
  <si>
    <t>Traspaso De: Miguel Jesus Torres Agreda</t>
  </si>
  <si>
    <t>Reserva B-5</t>
  </si>
  <si>
    <t>Envio chilexpress</t>
  </si>
  <si>
    <t>Set documentos</t>
  </si>
  <si>
    <t>Traspaso De: Manuel Alejandro Jeldres Stuardo</t>
  </si>
  <si>
    <t>Reserva A-3</t>
  </si>
  <si>
    <t>BANCO DE CHILE</t>
  </si>
  <si>
    <t>Prestamos Felipe Hiriart</t>
  </si>
  <si>
    <t>Prestamos Dominique Hiriat</t>
  </si>
  <si>
    <t>Prepaga prestamo hipotecario Banco de Chile</t>
  </si>
  <si>
    <t>Reembolsa gastos viaje</t>
  </si>
  <si>
    <t>Traspaso De: Distribuidora El Turco Limitada</t>
  </si>
  <si>
    <t>Reserva 5 lotes Jorge Berna</t>
  </si>
  <si>
    <t>Traspaso De: Rodolfo Andres Ramirez Ortiz</t>
  </si>
  <si>
    <t>Pago cuota 1/3</t>
  </si>
  <si>
    <t>Reserva lote C-11</t>
  </si>
  <si>
    <t>Reserva lote B3</t>
  </si>
  <si>
    <t>Recaudacion Y Pagos De Servicios *</t>
  </si>
  <si>
    <t>Traspaso De: Maria Paz Martinez</t>
  </si>
  <si>
    <t>Reserva B15</t>
  </si>
  <si>
    <t>Traspaso De: Pamela De Lourdes Ruiz Garces</t>
  </si>
  <si>
    <t>Traspaso De: Karen Mabel Mardones Leiva</t>
  </si>
  <si>
    <t>Traspaso De: Blanca Del Pilar Rojas Bahamondes</t>
  </si>
  <si>
    <t>Reserva C7</t>
  </si>
  <si>
    <t>Reserva B4</t>
  </si>
  <si>
    <t>Reserva A12</t>
  </si>
  <si>
    <t>Traspaso A: Felipe Chavez Torres</t>
  </si>
  <si>
    <t>Traspaso De: Francisco Javier Flore</t>
  </si>
  <si>
    <t>Traspaso De: Roberto Andres Traslavina Lopez</t>
  </si>
  <si>
    <t>Traspaso De: Cristina Adela Ochoa Adamas</t>
  </si>
  <si>
    <t>Pago: Inversiones 0965712208</t>
  </si>
  <si>
    <t>Traspaso De: Cifuentes Ortiz Natalia Andrea</t>
  </si>
  <si>
    <t>Deposito En Efectivo N° 5584602</t>
  </si>
  <si>
    <t>Pie parcela B-9 Rodolfo</t>
  </si>
  <si>
    <t>Reserva C-12 Natalia</t>
  </si>
  <si>
    <t>Reserva C-1 Cristina</t>
  </si>
  <si>
    <t>Reserva C-14 Roberto</t>
  </si>
  <si>
    <t>Reserva B2 Francisco</t>
  </si>
  <si>
    <t>Caminos</t>
  </si>
  <si>
    <t>instalacion alcantarill</t>
  </si>
  <si>
    <t>Traspaso De: Francisca Fernanda San Martin Peralta</t>
  </si>
  <si>
    <t>Transferencia Desde Linea De Credito</t>
  </si>
  <si>
    <t>PARCELA</t>
  </si>
  <si>
    <t>Pie parcela B7</t>
  </si>
  <si>
    <t>Reserva B10</t>
  </si>
  <si>
    <t>Amortizacion A Linea De Credito</t>
  </si>
  <si>
    <t>Pago En Tesoreria.cl*</t>
  </si>
  <si>
    <t>Traspaso De: Maritza Marcela Leiva Vera</t>
  </si>
  <si>
    <t>Abono Por Reversa De Dividendo</t>
  </si>
  <si>
    <t>Traspaso De: Cecilia Adelaida Villagra Villagra</t>
  </si>
  <si>
    <t>Traspaso De: Juan Esteban Sanchez Bascur</t>
  </si>
  <si>
    <t>Reserva C10</t>
  </si>
  <si>
    <t>Reserva C9</t>
  </si>
  <si>
    <t>Contribuciones cuota 1</t>
  </si>
  <si>
    <t>Deposito En Efectivo N° 8860669</t>
  </si>
  <si>
    <t>Dep.cheq.otros Bancos N° 4543970</t>
  </si>
  <si>
    <t>Traspaso De: Manzano Ruiz Cristian Osvaldo</t>
  </si>
  <si>
    <t>Dep.cheq.otros Bancos N° 4543994</t>
  </si>
  <si>
    <t>Traspaso A: Dominique Hiriart</t>
  </si>
  <si>
    <t>Traspaso A: Carlos Ciuffardi</t>
  </si>
  <si>
    <t>Impuesto Linea De Credito</t>
  </si>
  <si>
    <t>Traspaso A: Hector Varela</t>
  </si>
  <si>
    <t>Traspaso A: Pamela Ruiz</t>
  </si>
  <si>
    <t>Intereses Linea De Credito</t>
  </si>
  <si>
    <t>Reembolso reserva C7</t>
  </si>
  <si>
    <t>Asesoria venta A5 A10 C15</t>
  </si>
  <si>
    <t>Reembolsa gastos bencina</t>
  </si>
  <si>
    <t>Comision venta B6</t>
  </si>
  <si>
    <t>actualizacion nube</t>
  </si>
  <si>
    <t>Comision venta A15</t>
  </si>
  <si>
    <t>Asesoria venta A9 B12 B13 B16</t>
  </si>
  <si>
    <t>ADELANTO REPLANTEO</t>
  </si>
  <si>
    <t>A5 - VALENTINA ARANDA</t>
  </si>
  <si>
    <t>B7 - LISSETTE RIQUELME</t>
  </si>
  <si>
    <t>B9 - RODOLFO UTRERAS</t>
  </si>
  <si>
    <t>B11 - NICOLE ROJAS</t>
  </si>
  <si>
    <t>A12 - BLANCA DEL PILAR ROJAS</t>
  </si>
  <si>
    <t>C9 - JUAN ESTEBAN SANCHEZ</t>
  </si>
  <si>
    <t>C11 - RODOLFO RAMÍREZ</t>
  </si>
  <si>
    <t>C14 - ROBERTO TRASLAVIÑA</t>
  </si>
  <si>
    <t>C15 - CARLOS CESPEDES</t>
  </si>
  <si>
    <t>Cuota 1/48</t>
  </si>
  <si>
    <t>Cuota 1/24</t>
  </si>
  <si>
    <t>Rendicion 1 - Pedro lecaros 27.05.2025</t>
  </si>
  <si>
    <t>23.05.2025</t>
  </si>
  <si>
    <t>Alimentacion copec</t>
  </si>
  <si>
    <t>Boleta</t>
  </si>
  <si>
    <t>Fecha</t>
  </si>
  <si>
    <t>Concepto</t>
  </si>
  <si>
    <t>Respaldo</t>
  </si>
  <si>
    <t>Monto</t>
  </si>
  <si>
    <t>Peaje</t>
  </si>
  <si>
    <t>Alimentacionaeropuerto</t>
  </si>
  <si>
    <t>Bencina y Tag</t>
  </si>
  <si>
    <t>Sin respaldo</t>
  </si>
  <si>
    <t>Estacionamiento notaria</t>
  </si>
  <si>
    <t>24.05.2025</t>
  </si>
  <si>
    <t>Sin Respaldo</t>
  </si>
  <si>
    <t>Caja Chica</t>
  </si>
  <si>
    <t>Total Rendicion 1</t>
  </si>
  <si>
    <t>Rendicion 2 - Felipe Hiriart 27.05.2025</t>
  </si>
  <si>
    <t>Alimentacion</t>
  </si>
  <si>
    <t>Arriendo auto</t>
  </si>
  <si>
    <t>Factura</t>
  </si>
  <si>
    <t>Bencina</t>
  </si>
  <si>
    <t>Pasajes a osorno</t>
  </si>
  <si>
    <t>Pasajes a santiago</t>
  </si>
  <si>
    <t>Total Rendicion 2</t>
  </si>
  <si>
    <t>Estacionamiento</t>
  </si>
  <si>
    <t>29.05.2025</t>
  </si>
  <si>
    <t>Pasaje a osorno</t>
  </si>
  <si>
    <t>28.05.2025</t>
  </si>
  <si>
    <t>Traslado aeropuerto</t>
  </si>
  <si>
    <t>Guía de Traslado</t>
  </si>
  <si>
    <t>29.05.2026</t>
  </si>
  <si>
    <t>29.05.2027</t>
  </si>
  <si>
    <t>29.05.2028</t>
  </si>
  <si>
    <t>Propina</t>
  </si>
  <si>
    <t>Pasaje a santiago</t>
  </si>
  <si>
    <t>Traspaso A: Jorge Ignacio Troncoso Vidal</t>
  </si>
  <si>
    <t>Pago Linea De Cred: 018870277108</t>
  </si>
  <si>
    <t>Traspaso De: Ximena Paz Ormazabal Canelo</t>
  </si>
  <si>
    <t>Traspaso A: Rodrigo Rojas Castillo</t>
  </si>
  <si>
    <t>Traspaso De: Miguel Bernales Bernales</t>
  </si>
  <si>
    <t>Traspaso De: Evelyn Paola Galarce Gonzalez</t>
  </si>
  <si>
    <t>Traspaso A: Felipe Hiriart</t>
  </si>
  <si>
    <t>Traspaso De: Miguel Angel Cortes Grego</t>
  </si>
  <si>
    <t>Traspaso De: Bernales Vergara Miguel Eduardo</t>
  </si>
  <si>
    <t>Traspaso De: Moncada Sandoval Pedro Simon</t>
  </si>
  <si>
    <t>Traspaso A: Brayans Stegmayer</t>
  </si>
  <si>
    <t>Traspaso A: Pedro Lecaros</t>
  </si>
  <si>
    <t>Dep.cheq.otros Bancos N° 3456941</t>
  </si>
  <si>
    <t>Traspaso De: Maria Salome Ramos</t>
  </si>
  <si>
    <t>Traspaso A: Sindy Danaee Sandoval Vega</t>
  </si>
  <si>
    <t>Deposito En Efectivo N° 8024900</t>
  </si>
  <si>
    <t>Traspaso A: Maria Martinez</t>
  </si>
  <si>
    <t>Traspaso A: Denis Marcelo Bustos Fuentealba</t>
  </si>
  <si>
    <t>Traspaso A: Maria Paz Amenabar</t>
  </si>
  <si>
    <t>Traspaso A: Miguel Cortes</t>
  </si>
  <si>
    <t>Reembolsa saldo a favor parcela C-13</t>
  </si>
  <si>
    <t>Usa monto de saldo a favor de parcela C-13 para pago notaría</t>
  </si>
  <si>
    <t>Deposita para pagar a CBR Paillaco</t>
  </si>
  <si>
    <t>Pago inscripcion lote C12</t>
  </si>
  <si>
    <t>Firma en valdivia</t>
  </si>
  <si>
    <t>Pago 1 de 4 Pie 4 lotes</t>
  </si>
  <si>
    <t>Pago 2 de 4 Pie 4 lotes</t>
  </si>
  <si>
    <t>Firma en Osorno</t>
  </si>
  <si>
    <t>Reembolsa gastos a Osorno</t>
  </si>
  <si>
    <t>Reserva C-1</t>
  </si>
  <si>
    <t>Reserva C-4</t>
  </si>
  <si>
    <t>Pie parcela C-11</t>
  </si>
  <si>
    <t>Reserva C-13</t>
  </si>
  <si>
    <t>Pago parcela C-1</t>
  </si>
  <si>
    <t>Comision B-5</t>
  </si>
  <si>
    <t>Firma en Valdivia</t>
  </si>
  <si>
    <t>Transfiere para pago CBR</t>
  </si>
  <si>
    <t>Pago inscripcion lote C11</t>
  </si>
  <si>
    <t>B5</t>
  </si>
  <si>
    <t>Pago 1 de 5 parcela B11</t>
  </si>
  <si>
    <t>Comision venta C1</t>
  </si>
  <si>
    <t>Estacas replanteo</t>
  </si>
  <si>
    <t>Pago 2 de 5 parcela B11</t>
  </si>
  <si>
    <t>Comision A3</t>
  </si>
  <si>
    <t>Reembolsa gastos</t>
  </si>
  <si>
    <t>Dep.cheq.otros Bancos N° 8024899</t>
  </si>
  <si>
    <t>Dep.cheq.otros Bancos N° 6576926</t>
  </si>
  <si>
    <t>B15</t>
  </si>
  <si>
    <t>Reembolsa saldo a favor parcela B-15</t>
  </si>
  <si>
    <t>B3 y B14</t>
  </si>
  <si>
    <t>A3</t>
  </si>
  <si>
    <t>Firma Temuco</t>
  </si>
  <si>
    <t>Pago 3 de 5 parcela B11</t>
  </si>
  <si>
    <t>notaria San pedro de la paz</t>
  </si>
  <si>
    <t>Rendición pasaje Lan a Osorno</t>
  </si>
  <si>
    <t>Rendición pasaje Lan a Stgo</t>
  </si>
  <si>
    <t>Arriendo auto Osorno</t>
  </si>
  <si>
    <t>Pie parcela C8</t>
  </si>
  <si>
    <t>gastos viaje</t>
  </si>
  <si>
    <t>viaje</t>
  </si>
  <si>
    <t>Rendicion 3 viaje a Osorno 29 mayo 25</t>
  </si>
  <si>
    <t>Cuota 2/48</t>
  </si>
  <si>
    <t>Cuota 2/24</t>
  </si>
  <si>
    <t>Traspaso A: Martin Gouet</t>
  </si>
  <si>
    <t>Traspaso A: Juan Nicolas Espinoza</t>
  </si>
  <si>
    <t>Dep.cheq.otros Bancos N° 8025625</t>
  </si>
  <si>
    <t>Traspaso De: Juan Gonzalo Arias</t>
  </si>
  <si>
    <t>Dep.cheq.otros Bancos N° 4542919</t>
  </si>
  <si>
    <t>Inscripcion B11</t>
  </si>
  <si>
    <t>Asesoria Venta B8</t>
  </si>
  <si>
    <t>Promesa C9</t>
  </si>
  <si>
    <t>Escritura B11</t>
  </si>
  <si>
    <t>A4 + D11</t>
  </si>
  <si>
    <t>Reserva A4 + D11</t>
  </si>
  <si>
    <t>Paga deuda</t>
  </si>
  <si>
    <t>Pie parcela C9</t>
  </si>
  <si>
    <t>Firma de Puerto Montt</t>
  </si>
  <si>
    <t>Firma + retiro VV en Los Angeles</t>
  </si>
  <si>
    <t>F29</t>
  </si>
  <si>
    <t xml:space="preserve">Contribuciones  </t>
  </si>
  <si>
    <t>Deposito En Efectivo N° 6443695</t>
  </si>
  <si>
    <t>Dep.cheq.otros Bancos N° 6443696</t>
  </si>
  <si>
    <t>Dep.cheq.otros Bancos N° 3445795</t>
  </si>
  <si>
    <t>Dep.cheq.otros Bancos N° 2296642</t>
  </si>
  <si>
    <t>Rendicion 3 - Felipe Hiriart 27.05.2025</t>
  </si>
  <si>
    <t>Total Rendicion 3</t>
  </si>
  <si>
    <t>Rendicion 4 - Felipe Hiriart 26.06.2025</t>
  </si>
  <si>
    <t>19.06.2025</t>
  </si>
  <si>
    <t>Pasaje a Pto Montt Pedro</t>
  </si>
  <si>
    <t>Pasaje a Pto Montt Felipe</t>
  </si>
  <si>
    <t>25.06.2025</t>
  </si>
  <si>
    <t>Arriendo Auto Alamo</t>
  </si>
  <si>
    <t>Hotel Puerto Chico</t>
  </si>
  <si>
    <t>Uber</t>
  </si>
  <si>
    <t>Caja chica</t>
  </si>
  <si>
    <t>24.06.2025</t>
  </si>
  <si>
    <t>23.06.2025</t>
  </si>
  <si>
    <t>Total Rendicion 4</t>
  </si>
  <si>
    <t>Auto aeropuerto</t>
  </si>
  <si>
    <t>Rendicion 5 - Jorge Troncoso 26.06.2025</t>
  </si>
  <si>
    <t>26.06.2025</t>
  </si>
  <si>
    <t>Total Rendicion 5</t>
  </si>
  <si>
    <t>Dep.cheq.otros Bancos N° 3081647</t>
  </si>
  <si>
    <t>Traspaso De: Teresa Andrea Sanhueza</t>
  </si>
  <si>
    <t>Traspaso De: Doris Del Pilar Silva</t>
  </si>
  <si>
    <t>Deposito En Efectivo N° 6443688</t>
  </si>
  <si>
    <t>Reserva C6</t>
  </si>
  <si>
    <t>Reserva C2</t>
  </si>
  <si>
    <t>Rendicion 4</t>
  </si>
  <si>
    <t>Rendicion 5, viaje a Osorno</t>
  </si>
  <si>
    <t>Retiro VV Osorno</t>
  </si>
  <si>
    <t>Pago pie A14</t>
  </si>
  <si>
    <t>Pie C4</t>
  </si>
  <si>
    <t>Rendicion 6 - Felipe Hiriart 15.07.2025</t>
  </si>
  <si>
    <t>02.07.2025</t>
  </si>
  <si>
    <t>Pasajes a Pto Montt</t>
  </si>
  <si>
    <t>07.07.2025</t>
  </si>
  <si>
    <t>08.07.2025</t>
  </si>
  <si>
    <t>09.07.2025</t>
  </si>
  <si>
    <t>Alimentación</t>
  </si>
  <si>
    <t>12.07.2025</t>
  </si>
  <si>
    <t>Total Rendicion 6</t>
  </si>
  <si>
    <t>Asesoria venta A14 C4</t>
  </si>
  <si>
    <t>Traspaso De: Villota Gallegos Francisco Gabriel</t>
  </si>
  <si>
    <t>Reserva C3</t>
  </si>
  <si>
    <t>Traspaso A: Jose Manuel Astorga Lanas</t>
  </si>
  <si>
    <t>C14, paga diferencia que faltaba en el vale vista</t>
  </si>
  <si>
    <t>Cargo tarjeta de credito, publicidad</t>
  </si>
  <si>
    <t>Dep.cheq.otros Bancos N° 4501192</t>
  </si>
  <si>
    <t>Venta A19 + C18</t>
  </si>
  <si>
    <t>A4+D11</t>
  </si>
  <si>
    <t>Traspaso A: Sebastian Sada Aznar</t>
  </si>
  <si>
    <t>Traspaso De: Roberto Antonio Farias</t>
  </si>
  <si>
    <t>Traspaso A: German Marquez</t>
  </si>
  <si>
    <t>Dep.cheq.otros Bancos N° 4791038</t>
  </si>
  <si>
    <t>Gastos Osorno Jorge Troncoso</t>
  </si>
  <si>
    <t>Firma de promesa</t>
  </si>
  <si>
    <t xml:space="preserve">Promesa  </t>
  </si>
  <si>
    <t>Asesoria venta A4, A19, C18, D11</t>
  </si>
  <si>
    <t>Lotes C13 y C10</t>
  </si>
  <si>
    <t>Traspaso A: Tesoreria Municipal Puerto Octay</t>
  </si>
  <si>
    <t>Traspaso De: Lisssette Patricia Riquelme Riquelme</t>
  </si>
  <si>
    <t>Deposito En Efectivo N° 4789770</t>
  </si>
  <si>
    <t>Dep.cheq.otros Bancos N° 4789767</t>
  </si>
  <si>
    <t>Traspaso A: Inversiones Lonquen Limitada</t>
  </si>
  <si>
    <t>Traspaso De: Benjamin Jose Lecaros Sotomayor</t>
  </si>
  <si>
    <t>Topografia German Marquez</t>
  </si>
  <si>
    <t>Parcela A10</t>
  </si>
  <si>
    <t>Firma Los Angeles</t>
  </si>
  <si>
    <t>Certificado DOM</t>
  </si>
  <si>
    <t>Adelanta pago parcela B7</t>
  </si>
  <si>
    <t>Lotes A16, A17, A18 y C7</t>
  </si>
  <si>
    <t>PUERTO OCTAY</t>
  </si>
  <si>
    <t>Rendicion 6</t>
  </si>
  <si>
    <t>Reserva C5 Maria Elena</t>
  </si>
  <si>
    <t>B12 claudio Quezada</t>
  </si>
  <si>
    <t>B13 Carlos San Martin</t>
  </si>
  <si>
    <t>B6, B16, A15, A9</t>
  </si>
  <si>
    <t>C17</t>
  </si>
  <si>
    <t>C16</t>
  </si>
  <si>
    <t>C12</t>
  </si>
  <si>
    <t>A2</t>
  </si>
  <si>
    <t>B4</t>
  </si>
  <si>
    <t>A1</t>
  </si>
  <si>
    <t>B8</t>
  </si>
  <si>
    <t>Traspaso A: Jose Miguel Parro Fluxa</t>
  </si>
  <si>
    <t>Traspaso A: Inversiones Jopa Limitada</t>
  </si>
  <si>
    <t>Traspaso De: Benjamin Jose Lecaros</t>
  </si>
  <si>
    <t>Traspaso A: Daniel Gebauer</t>
  </si>
  <si>
    <t>Deposito En Efectivo N° 2946967</t>
  </si>
  <si>
    <t>Aporte A Fondo Mutuo</t>
  </si>
  <si>
    <t>Traspaso A: Rios Y Compania Abogados Limitada</t>
  </si>
  <si>
    <t>Devolucion 2/2 error transferencia</t>
  </si>
  <si>
    <t>Devolucion 1/2 error transferencia</t>
  </si>
  <si>
    <t>Adelanta pago parcela C11</t>
  </si>
  <si>
    <t>Mandato</t>
  </si>
  <si>
    <t>Mandato C6</t>
  </si>
  <si>
    <t>Reembolsa gasto CBR</t>
  </si>
  <si>
    <t>Cuota 1/36</t>
  </si>
  <si>
    <t>Katherine Orellana A10</t>
  </si>
  <si>
    <t>Nube Puerto Octay</t>
  </si>
  <si>
    <t>Termina pago B7</t>
  </si>
  <si>
    <t>Planos</t>
  </si>
  <si>
    <t>contabilidad</t>
  </si>
  <si>
    <t>Escaneo plano tekkrom</t>
  </si>
  <si>
    <t>C4 - EVELYN PAOLA GALARCE</t>
  </si>
  <si>
    <t>Rendicion 7 - Felipe Hiriart 07.08.2025</t>
  </si>
  <si>
    <t>01.08.2025</t>
  </si>
  <si>
    <t>Pasajes a Osorno</t>
  </si>
  <si>
    <t>Hotel Sonesta Osorno + Comida</t>
  </si>
  <si>
    <t>Mitta</t>
  </si>
  <si>
    <t>Mitta de viaje 7-7-25. Fact 1280191</t>
  </si>
  <si>
    <t>05.08.2025</t>
  </si>
  <si>
    <t>Cabify</t>
  </si>
  <si>
    <t>Cabify aeropuerto</t>
  </si>
  <si>
    <t>06.08.2025</t>
  </si>
  <si>
    <t>Se me pasó agregarlo en rendición 6</t>
  </si>
  <si>
    <t>Total Rendicion 7</t>
  </si>
  <si>
    <t>publicidad</t>
  </si>
  <si>
    <t>Reembolso Tekkrom</t>
  </si>
  <si>
    <t>Alzamiento C11</t>
  </si>
  <si>
    <t>Parcela A10 - Katherine</t>
  </si>
  <si>
    <t>Rendicion 7</t>
  </si>
  <si>
    <t>Rendicion 8 - Felipe Hiriart 25.08.2025</t>
  </si>
  <si>
    <t>Total Rendicion 8</t>
  </si>
  <si>
    <t>18.08.2025</t>
  </si>
  <si>
    <t>19.08.2025</t>
  </si>
  <si>
    <t>21.08.2025</t>
  </si>
  <si>
    <t>20.08.2025</t>
  </si>
  <si>
    <t>Rendicion 9 - Pedro Lecaros 25.08.2025</t>
  </si>
  <si>
    <t xml:space="preserve">Caja chica - Peajes etc. </t>
  </si>
  <si>
    <t>Compra machetes</t>
  </si>
  <si>
    <t>Arriendo auto Econorent</t>
  </si>
  <si>
    <t>Pasajes Latam</t>
  </si>
  <si>
    <t>Total Rendicion 9</t>
  </si>
  <si>
    <t>Arriendo auto (Bencina adicional)</t>
  </si>
  <si>
    <t>Rendicion 10 - Benjamin Lecaros</t>
  </si>
  <si>
    <t>(blank)</t>
  </si>
  <si>
    <t>Grand Total</t>
  </si>
  <si>
    <t>Row Labels</t>
  </si>
  <si>
    <t>Sum of DEPOSITO</t>
  </si>
  <si>
    <t>Sum of GIROS</t>
  </si>
  <si>
    <t>JMP</t>
  </si>
  <si>
    <t>BLS</t>
  </si>
  <si>
    <t>JOPA</t>
  </si>
  <si>
    <t>Traspaso De: Galarce Gonzalez Evelyn Paola</t>
  </si>
  <si>
    <t>Dep.cheq.otros Bancos N° 7841124</t>
  </si>
  <si>
    <t>Transferencia De Otro Banco Via Spav</t>
  </si>
  <si>
    <t>Traspaso De: Lissette Patricia Riquelme Martinez</t>
  </si>
  <si>
    <t>31/3/2025</t>
  </si>
  <si>
    <t>30/4/2025</t>
  </si>
  <si>
    <t>31/5/2025</t>
  </si>
  <si>
    <t>18/6/2025</t>
  </si>
  <si>
    <t>19/6/2026</t>
  </si>
  <si>
    <t>26/06/2025</t>
  </si>
  <si>
    <t>22/07/2025</t>
  </si>
  <si>
    <t>Boleta 51299</t>
  </si>
  <si>
    <t>Boleta 51600</t>
  </si>
  <si>
    <t>Boleta 51844</t>
  </si>
  <si>
    <t>Boleta 51925</t>
  </si>
  <si>
    <t>Boleta 52582</t>
  </si>
  <si>
    <t>Boleta 52810</t>
  </si>
  <si>
    <t>Boleta 53006</t>
  </si>
  <si>
    <t>Boleta 53096</t>
  </si>
  <si>
    <t>Boleta 53118</t>
  </si>
  <si>
    <t>Boleta 53181</t>
  </si>
  <si>
    <t>Boleta 53224</t>
  </si>
  <si>
    <t>Boleta 53418</t>
  </si>
  <si>
    <t>Boleta 53473</t>
  </si>
  <si>
    <t>Boleta 53475</t>
  </si>
  <si>
    <t>Boleta 54041</t>
  </si>
  <si>
    <t>Boleta 54055</t>
  </si>
  <si>
    <t>Boleta 54755</t>
  </si>
  <si>
    <t>Boleta 54756</t>
  </si>
  <si>
    <t>Boleta 54769</t>
  </si>
  <si>
    <t>Boleta 54823</t>
  </si>
  <si>
    <t>Boleta 54967</t>
  </si>
  <si>
    <t>Boleta 54968</t>
  </si>
  <si>
    <t>Boleta 54969</t>
  </si>
  <si>
    <t>Boleta 55760</t>
  </si>
  <si>
    <t>Total Rendicion 10</t>
  </si>
  <si>
    <t>Rendicion 9</t>
  </si>
  <si>
    <t>Rendicion 8</t>
  </si>
  <si>
    <t>Reembolsa gastos durante el año CBR Rendicion 10</t>
  </si>
  <si>
    <t>Parcela A-14</t>
  </si>
  <si>
    <t>Prepaga parcela C4</t>
  </si>
  <si>
    <t>Parcela C-14</t>
  </si>
  <si>
    <t>Asesoria venta C14</t>
  </si>
  <si>
    <t>Arquitectura</t>
  </si>
  <si>
    <t>Servicio de gestion</t>
  </si>
  <si>
    <t>DOMI</t>
  </si>
  <si>
    <t>LONQUEN</t>
  </si>
  <si>
    <t>Asesoria venta A16, A17, A18, C7, C10, C13</t>
  </si>
  <si>
    <t>Reserva parcela C8</t>
  </si>
  <si>
    <t>(Multiple Items)</t>
  </si>
  <si>
    <t>Rendicion 11 - Felipe Hiriart 24.09.2025</t>
  </si>
  <si>
    <t>18.09.2025</t>
  </si>
  <si>
    <t>Pasajes Pto Montt</t>
  </si>
  <si>
    <t>22.09.2025</t>
  </si>
  <si>
    <t>Hotel Frutillar</t>
  </si>
  <si>
    <t>Arriendo auto Mitta</t>
  </si>
  <si>
    <t>23.09.2025</t>
  </si>
  <si>
    <t>Total Rendicion 11</t>
  </si>
  <si>
    <t>Traspaso A: Ignacio Gebauer</t>
  </si>
  <si>
    <t>Traspaso De: Alexis Stalin Josue Ar</t>
  </si>
  <si>
    <t>Traspaso A: Elsa Tania Salome Arias Bustos</t>
  </si>
  <si>
    <t>Traspaso De: Maria Isabel Molina Munoz</t>
  </si>
  <si>
    <t>Reserva C3 Maria Isabel</t>
  </si>
  <si>
    <t>Reserva D9 Alexis Arcos</t>
  </si>
  <si>
    <t>Visita puerto octay</t>
  </si>
  <si>
    <t>Reembolso gastos</t>
  </si>
  <si>
    <t>notaria</t>
  </si>
  <si>
    <t>contribuciones</t>
  </si>
  <si>
    <t>Pie lotes A6, A7, A8 y A13</t>
  </si>
  <si>
    <t>Asesoria venta A6, A7, A8, y A13</t>
  </si>
  <si>
    <t>Cuota 3/24</t>
  </si>
  <si>
    <t>Cuota 4/24</t>
  </si>
  <si>
    <t>Cuota 5/24</t>
  </si>
  <si>
    <t>Cuota 6/24</t>
  </si>
  <si>
    <t>Cuota 3/48</t>
  </si>
  <si>
    <t>Cuota 4/48</t>
  </si>
  <si>
    <t>Cuota 5/48</t>
  </si>
  <si>
    <t>Cuota 6/48</t>
  </si>
  <si>
    <t>Cuota 2/36</t>
  </si>
  <si>
    <t>Cuota 3/36</t>
  </si>
  <si>
    <t>Dep.cheq.otros Bancos N° 3727395</t>
  </si>
  <si>
    <t>Traspaso De: Abraham Conrado Flores Arias</t>
  </si>
  <si>
    <t>Parcela B2</t>
  </si>
  <si>
    <t>Asesoria venta B2</t>
  </si>
  <si>
    <t>Saldo faltante parcela A10</t>
  </si>
  <si>
    <t xml:space="preserve">Chilexpress </t>
  </si>
  <si>
    <t>Traspaso A: Erwin Patricio Igor Vera</t>
  </si>
  <si>
    <t>Traspaso De: Pena Nunez Carlos Alejandro</t>
  </si>
  <si>
    <t>Dep.cheq.otros Bancos N° 6246233</t>
  </si>
  <si>
    <t>Traspaso A: Carla Bastias</t>
  </si>
  <si>
    <t>Visita puerto octay Virginia</t>
  </si>
  <si>
    <t>Firma C8</t>
  </si>
  <si>
    <t>A12 - CARLOS PEÑA</t>
  </si>
  <si>
    <t>Firma erik A1</t>
  </si>
  <si>
    <t>Pie A12</t>
  </si>
  <si>
    <t>Firma A12</t>
  </si>
  <si>
    <t>Asesoria venta A12</t>
  </si>
  <si>
    <t>Boleta 50904 CBR Paillaco. Todas inscripciones</t>
  </si>
  <si>
    <t>Rendicion 12 - Pedro Lecaros 04.12.2025</t>
  </si>
  <si>
    <t>03.12.25</t>
  </si>
  <si>
    <t>Copec</t>
  </si>
  <si>
    <t>Comida aeropuerto</t>
  </si>
  <si>
    <t>Comida spacio 1</t>
  </si>
  <si>
    <t>Almuierzo</t>
  </si>
  <si>
    <t>Comida</t>
  </si>
  <si>
    <t>02.12.25</t>
  </si>
  <si>
    <t>Pago CBR Osorno</t>
  </si>
  <si>
    <t>Total Rendicion 13</t>
  </si>
  <si>
    <t>Rendicion 13 - Felipe Hiriart 04.12.2025</t>
  </si>
  <si>
    <t>14.11.2025</t>
  </si>
  <si>
    <t>Pasajes Pto Montt Felipe y Pedro</t>
  </si>
  <si>
    <t>19.11.2025</t>
  </si>
  <si>
    <t>Pasajes Pto Montt Benja</t>
  </si>
  <si>
    <t>01.12.2025</t>
  </si>
  <si>
    <t>Arriendo Auto Hertz</t>
  </si>
  <si>
    <t>02.12.2025</t>
  </si>
  <si>
    <t>01.12.25</t>
  </si>
  <si>
    <t>Boleta SAG</t>
  </si>
  <si>
    <t>Boleta 75 Tramitacion S</t>
  </si>
  <si>
    <t>OT 189271</t>
  </si>
  <si>
    <t>Total Rendicion 14</t>
  </si>
  <si>
    <t>Asesoria venta B-7 B-9</t>
  </si>
  <si>
    <t>Asesoria venta A-2 y B-4</t>
  </si>
  <si>
    <t>Asesoria venta C16</t>
  </si>
  <si>
    <t>Asesoria venta C11 y C12</t>
  </si>
  <si>
    <t>22/12/2025</t>
  </si>
  <si>
    <t>Boleta 60655 CBR Paillaco. Todas inscripciones</t>
  </si>
  <si>
    <t>Boleta 56172</t>
  </si>
  <si>
    <t>Boleta 58653</t>
  </si>
  <si>
    <t>27/10/2025</t>
  </si>
  <si>
    <t>Rendicion 14 - Benjamin Lecaros 31.12.2025</t>
  </si>
  <si>
    <t>OT 209627</t>
  </si>
  <si>
    <t>OT 211325</t>
  </si>
  <si>
    <t>OT 212443</t>
  </si>
  <si>
    <t>Traspaso A: Maria Molina</t>
  </si>
  <si>
    <t>Traspaso A: Francisca San Martin</t>
  </si>
  <si>
    <t>Traspaso De: Daniel Fernando Candia Cabrera</t>
  </si>
  <si>
    <t>Traspaso A: Joselin Diaz</t>
  </si>
  <si>
    <t>Rendicion 12</t>
  </si>
  <si>
    <t>Rendicion 13</t>
  </si>
  <si>
    <t>Publicidad</t>
  </si>
  <si>
    <t>Reembolsa reserva C3</t>
  </si>
  <si>
    <t>Reembolsa reserva B10</t>
  </si>
  <si>
    <t>Reserva D12</t>
  </si>
  <si>
    <t>A6 A7 A8 A13 JORGE - EL TURCO LTDA</t>
  </si>
  <si>
    <t>C6 - TERESA SANHUEZA</t>
  </si>
  <si>
    <t>C3 - CRISTOBAL AUBEL JARAMILLO</t>
  </si>
  <si>
    <t>Reembolsa pago publicidad Facebook</t>
  </si>
  <si>
    <t>Madera Tranqueras</t>
  </si>
  <si>
    <t>Cuota 7/24</t>
  </si>
  <si>
    <t>Cuota 8/24</t>
  </si>
  <si>
    <t>Cuota 7/48</t>
  </si>
  <si>
    <t>Cuota 8/48</t>
  </si>
  <si>
    <t>Cuota 4/36</t>
  </si>
  <si>
    <t>Cuota 5/36</t>
  </si>
  <si>
    <t xml:space="preserve"> Anelise Moncada C8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</si>
</sst>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[$-409]dd\-mmm\-yy;@"/>
    <numFmt numFmtId="166" formatCode="_(* #,##0_);_(* \(#,##0\);_(* &quot;-&quot;??_);_(@_)"/>
    <numFmt numFmtId="167" formatCode="dd/mm/yy;@"/>
  </numFmts>
  <fonts count="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Rubik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0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17" fontId="0" fillId="0" borderId="0" xfId="0" applyNumberFormat="1"/>
    <xf numFmtId="0" fontId="3" fillId="0" borderId="3" xfId="0" applyFont="1" applyBorder="1"/>
    <xf numFmtId="0" fontId="0" fillId="0" borderId="3" xfId="0" applyBorder="1"/>
    <xf numFmtId="166" fontId="3" fillId="0" borderId="3" xfId="2" applyNumberFormat="1" applyFont="1" applyBorder="1"/>
    <xf numFmtId="0" fontId="0" fillId="0" borderId="4" xfId="0" applyBorder="1"/>
    <xf numFmtId="167" fontId="0" fillId="0" borderId="3" xfId="0" applyNumberFormat="1" applyBorder="1"/>
    <xf numFmtId="166" fontId="0" fillId="0" borderId="3" xfId="2" applyNumberFormat="1" applyFont="1" applyBorder="1"/>
    <xf numFmtId="166" fontId="3" fillId="0" borderId="3" xfId="0" applyNumberFormat="1" applyFont="1" applyBorder="1"/>
    <xf numFmtId="165" fontId="4" fillId="2" borderId="1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4" fontId="5" fillId="2" borderId="5" xfId="1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43" fontId="0" fillId="0" borderId="0" xfId="2" applyFont="1"/>
    <xf numFmtId="166" fontId="0" fillId="0" borderId="0" xfId="2" applyNumberFormat="1" applyFont="1"/>
    <xf numFmtId="14" fontId="0" fillId="0" borderId="3" xfId="0" applyNumberFormat="1" applyBorder="1"/>
    <xf numFmtId="164" fontId="0" fillId="0" borderId="3" xfId="1" applyNumberFormat="1" applyFont="1" applyBorder="1"/>
    <xf numFmtId="164" fontId="0" fillId="0" borderId="0" xfId="0" applyNumberFormat="1"/>
    <xf numFmtId="164" fontId="0" fillId="3" borderId="3" xfId="1" applyNumberFormat="1" applyFont="1" applyFill="1" applyBorder="1"/>
    <xf numFmtId="0" fontId="0" fillId="3" borderId="3" xfId="0" applyFill="1" applyBorder="1"/>
    <xf numFmtId="14" fontId="0" fillId="0" borderId="0" xfId="0" applyNumberFormat="1"/>
    <xf numFmtId="164" fontId="0" fillId="0" borderId="0" xfId="1" applyNumberFormat="1" applyFont="1" applyBorder="1"/>
    <xf numFmtId="164" fontId="0" fillId="0" borderId="3" xfId="1" applyNumberFormat="1" applyFont="1" applyFill="1" applyBorder="1"/>
    <xf numFmtId="164" fontId="0" fillId="0" borderId="0" xfId="1" applyNumberFormat="1" applyFont="1" applyFill="1" applyBorder="1"/>
  </cellXfs>
  <cellStyles count="3">
    <cellStyle name="Comma" xfId="2" builtinId="3"/>
    <cellStyle name="Currency" xfId="1" builtinId="4"/>
    <cellStyle name="Normal" xfId="0" builtinId="0"/>
  </cellStyles>
  <dxfs count="12">
    <dxf>
      <fill>
        <patternFill>
          <bgColor theme="7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ubik"/>
        <scheme val="none"/>
      </font>
      <numFmt numFmtId="164" formatCode="_(&quot;$&quot;* #,##0_);_(&quot;$&quot;* \(#,##0\);_(&quot;$&quot;* &quot;-&quot;??_);_(@_)"/>
      <fill>
        <patternFill patternType="solid">
          <fgColor indexed="64"/>
          <bgColor rgb="FFEFEFEF"/>
        </patternFill>
      </fill>
      <alignment horizontal="center" vertical="center" textRotation="0" wrapText="1" indent="0" justifyLastLine="0" shrinkToFit="0" readingOrder="0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Lecaros" refreshedDate="45910.673036805558" createdVersion="8" refreshedVersion="8" minRefreshableVersion="3" recordCount="460" xr:uid="{B3E9A963-5070-4D05-B189-16878F70C8DA}">
  <cacheSource type="worksheet">
    <worksheetSource name="Table3"/>
  </cacheSource>
  <cacheFields count="8">
    <cacheField name="DETALLE" numFmtId="0">
      <sharedItems containsBlank="1"/>
    </cacheField>
    <cacheField name="CATEGORIA" numFmtId="0">
      <sharedItems containsBlank="1" count="8">
        <m/>
        <s v="GASTOS GENERALES"/>
        <s v="PRESTAMO"/>
        <s v="VENTA"/>
        <s v="NOTARIA Y CONSERVADOR"/>
        <s v="IMPUESTOS"/>
        <s v="LINEA DE CREDITO"/>
        <s v="FONDOS MUTUOS"/>
      </sharedItems>
    </cacheField>
    <cacheField name="PARCELA" numFmtId="0">
      <sharedItems containsBlank="1"/>
    </cacheField>
    <cacheField name="SUB" numFmtId="0">
      <sharedItems containsBlank="1" count="10">
        <m/>
        <s v="PLS"/>
        <s v="JMP"/>
        <s v="JOPA"/>
        <s v="BANCO DE CHILE"/>
        <s v="BLS"/>
        <s v="FHB"/>
        <s v="DOMI"/>
        <s v="PUERTO OCTAY"/>
        <s v="LONQUEN"/>
      </sharedItems>
    </cacheField>
    <cacheField name="SALDO" numFmtId="164">
      <sharedItems containsSemiMixedTypes="0" containsString="0" containsNumber="1" containsInteger="1" minValue="-989726" maxValue="356950777"/>
    </cacheField>
    <cacheField name="DEPOSITO" numFmtId="164">
      <sharedItems containsString="0" containsBlank="1" containsNumber="1" containsInteger="1" minValue="1000" maxValue="262430812"/>
    </cacheField>
    <cacheField name="GIROS" numFmtId="164">
      <sharedItems containsString="0" containsBlank="1" containsNumber="1" containsInteger="1" minValue="-300775861" maxValue="-5"/>
    </cacheField>
    <cacheField name="COMENTARI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Lecaros" refreshedDate="45910.673062037036" createdVersion="8" refreshedVersion="8" minRefreshableVersion="3" recordCount="461" xr:uid="{978D2BFE-804C-45A1-ABA6-7685F0E71646}">
  <cacheSource type="worksheet">
    <worksheetSource ref="A1:I1048576" sheet="MOVIMIENTOS"/>
  </cacheSource>
  <cacheFields count="9">
    <cacheField name="FECHA" numFmtId="165">
      <sharedItems containsNonDate="0" containsDate="1" containsString="0" containsBlank="1" minDate="2025-01-01T00:00:00" maxDate="2025-09-04T00:00:00" count="136">
        <d v="2025-01-01T00:00:00"/>
        <d v="2025-01-02T00:00:00"/>
        <d v="2025-01-08T00:00:00"/>
        <d v="2025-01-10T00:00:00"/>
        <d v="2025-01-13T00:00:00"/>
        <d v="2025-01-14T00:00:00"/>
        <d v="2025-01-17T00:00:00"/>
        <d v="2025-01-20T00:00:00"/>
        <d v="2025-01-21T00:00:00"/>
        <d v="2025-01-22T00:00:00"/>
        <d v="2025-01-24T00:00:00"/>
        <d v="2025-01-28T00:00:00"/>
        <d v="2025-01-29T00:00:00"/>
        <d v="2025-01-30T00:00:00"/>
        <d v="2025-01-31T00:00:00"/>
        <d v="2025-02-03T00:00:00"/>
        <d v="2025-02-06T00:00:00"/>
        <d v="2025-02-10T00:00:00"/>
        <d v="2025-02-12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9T00:00:00"/>
        <d v="2025-03-20T00:00:00"/>
        <d v="2025-03-24T00:00:00"/>
        <d v="2025-03-28T00:00:00"/>
        <d v="2025-03-31T00:00:00"/>
        <d v="2025-04-01T00:00:00"/>
        <d v="2025-04-03T00:00:00"/>
        <d v="2025-04-04T00:00:00"/>
        <d v="2025-04-07T00:00:00"/>
        <d v="2025-04-08T00:00:00"/>
        <d v="2025-04-09T00:00:00"/>
        <d v="2025-04-11T00:00:00"/>
        <d v="2025-04-14T00:00:00"/>
        <d v="2025-04-15T00:00:00"/>
        <d v="2025-04-16T00:00:00"/>
        <d v="2025-04-21T00:00:00"/>
        <d v="2025-04-22T00:00:00"/>
        <d v="2025-04-24T00:00:00"/>
        <d v="2025-04-28T00:00:00"/>
        <d v="2025-04-29T00:00:00"/>
        <d v="2025-04-30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2T00:00:00"/>
        <d v="2025-05-26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19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11T00:00:00"/>
        <d v="2025-07-14T00:00:00"/>
        <d v="2025-07-15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2T00:00:00"/>
        <d v="2025-08-18T00:00:00"/>
        <d v="2025-08-19T00:00:00"/>
        <d v="2025-08-21T00:00:00"/>
        <d v="2025-08-27T00:00:00"/>
        <d v="2025-08-28T00:00:00"/>
        <d v="2025-08-29T00:00:00"/>
        <d v="2025-09-01T00:00:00"/>
        <d v="2025-09-02T00:00:00"/>
        <d v="2025-09-03T00:00:00"/>
        <m/>
      </sharedItems>
    </cacheField>
    <cacheField name="DETALLE" numFmtId="0">
      <sharedItems containsBlank="1"/>
    </cacheField>
    <cacheField name="CATEGORIA" numFmtId="0">
      <sharedItems containsBlank="1" count="8">
        <m/>
        <s v="GASTOS GENERALES"/>
        <s v="PRESTAMO"/>
        <s v="VENTA"/>
        <s v="NOTARIA Y CONSERVADOR"/>
        <s v="IMPUESTOS"/>
        <s v="LINEA DE CREDITO"/>
        <s v="FONDOS MUTUOS"/>
      </sharedItems>
    </cacheField>
    <cacheField name="PARCELA" numFmtId="0">
      <sharedItems containsBlank="1"/>
    </cacheField>
    <cacheField name="SUB" numFmtId="0">
      <sharedItems containsBlank="1"/>
    </cacheField>
    <cacheField name="SALDO" numFmtId="164">
      <sharedItems containsString="0" containsBlank="1" containsNumber="1" containsInteger="1" minValue="-989726" maxValue="356950777"/>
    </cacheField>
    <cacheField name="DEPOSITO" numFmtId="164">
      <sharedItems containsString="0" containsBlank="1" containsNumber="1" containsInteger="1" minValue="1000" maxValue="262430812"/>
    </cacheField>
    <cacheField name="GIROS" numFmtId="164">
      <sharedItems containsString="0" containsBlank="1" containsNumber="1" containsInteger="1" minValue="-300775861" maxValue="-5"/>
    </cacheField>
    <cacheField name="COMENTARI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0">
  <r>
    <s v="SALDO ANTERIOR"/>
    <x v="0"/>
    <m/>
    <x v="0"/>
    <n v="702601"/>
    <m/>
    <m/>
    <m/>
  </r>
  <r>
    <s v="Traspaso A: Construcciones Del Ranco Spa"/>
    <x v="1"/>
    <m/>
    <x v="0"/>
    <n v="702601"/>
    <m/>
    <n v="-700000"/>
    <m/>
  </r>
  <r>
    <s v="Traspaso De: Pedro Jose Lecaros Sotomayor"/>
    <x v="2"/>
    <m/>
    <x v="1"/>
    <n v="2601"/>
    <n v="5000000"/>
    <m/>
    <m/>
  </r>
  <r>
    <s v="Traspaso A: Construcciones Del Ranco Spa"/>
    <x v="1"/>
    <m/>
    <x v="0"/>
    <n v="5002601"/>
    <m/>
    <n v="-1627022"/>
    <s v="Porton completa estado de pago 1"/>
  </r>
  <r>
    <s v="Traspaso A: Construcciones Del Ranco Spa"/>
    <x v="1"/>
    <m/>
    <x v="0"/>
    <n v="3375579"/>
    <m/>
    <n v="-1351157"/>
    <s v="Completa pago 30 porciento inicial, tranqueras"/>
  </r>
  <r>
    <s v="Traspaso A: La Nube Fotografia Ltda."/>
    <x v="1"/>
    <m/>
    <x v="0"/>
    <n v="2024422"/>
    <m/>
    <n v="-1309000"/>
    <s v="Pago la nube"/>
  </r>
  <r>
    <s v="Traspaso De: Jose Miguel Parro"/>
    <x v="2"/>
    <m/>
    <x v="2"/>
    <n v="715422"/>
    <n v="350000"/>
    <m/>
    <m/>
  </r>
  <r>
    <s v="Traspaso De: Pedro Jose Lecaros Sotomayor"/>
    <x v="2"/>
    <m/>
    <x v="1"/>
    <n v="1065422"/>
    <n v="2500000"/>
    <m/>
    <m/>
  </r>
  <r>
    <s v="Traspaso De: Jose Miguel Parro"/>
    <x v="2"/>
    <m/>
    <x v="2"/>
    <n v="3565422"/>
    <n v="2150000"/>
    <m/>
    <m/>
  </r>
  <r>
    <s v="Traspaso De: Carlos Alberto Cespedes Lopez"/>
    <x v="3"/>
    <m/>
    <x v="0"/>
    <n v="5715422"/>
    <n v="200000"/>
    <m/>
    <s v="Reserva C-18"/>
  </r>
  <r>
    <s v="Traspaso A: Conrad Pablo Zlch Parra"/>
    <x v="4"/>
    <m/>
    <x v="0"/>
    <n v="5915422"/>
    <m/>
    <n v="-177000"/>
    <s v="inscripcion servidumbre caminos"/>
  </r>
  <r>
    <s v="Traspaso A: Conrad Pablo Zlch Parra"/>
    <x v="4"/>
    <m/>
    <x v="0"/>
    <n v="5738422"/>
    <m/>
    <n v="-177000"/>
    <s v="inscripcion servidumbre caminos E1"/>
  </r>
  <r>
    <s v="Traspaso A: Asesorias Ecox Spa"/>
    <x v="1"/>
    <m/>
    <x v="0"/>
    <n v="5561422"/>
    <m/>
    <n v="-100000"/>
    <s v="Servicio contable"/>
  </r>
  <r>
    <s v="Traspaso A: Andres Rieutord"/>
    <x v="4"/>
    <m/>
    <x v="0"/>
    <n v="5461422"/>
    <m/>
    <n v="-80000"/>
    <m/>
  </r>
  <r>
    <s v="Traspaso De: Inversiones Jopa Limitada"/>
    <x v="2"/>
    <m/>
    <x v="3"/>
    <n v="5381422"/>
    <n v="5000000"/>
    <m/>
    <m/>
  </r>
  <r>
    <s v="Traspaso A: Geotim Ltda"/>
    <x v="1"/>
    <m/>
    <x v="0"/>
    <n v="10381422"/>
    <m/>
    <n v="-5000000"/>
    <s v="Abono parcial a primer 50 por ciento caminos"/>
  </r>
  <r>
    <s v="Traspaso De: Luis Eduardo Salas Ojeda"/>
    <x v="3"/>
    <m/>
    <x v="0"/>
    <n v="5381422"/>
    <n v="200000"/>
    <m/>
    <s v="Reserva A15"/>
  </r>
  <r>
    <s v="Traspaso De: Katherinne Andrea Orellana Saez"/>
    <x v="3"/>
    <m/>
    <x v="0"/>
    <n v="5581422"/>
    <n v="200000"/>
    <m/>
    <s v="Reserva A10"/>
  </r>
  <r>
    <s v="Traspaso A: Geotim Ltda"/>
    <x v="1"/>
    <m/>
    <x v="0"/>
    <n v="5781422"/>
    <m/>
    <n v="-5000000"/>
    <s v="Abono primera mitad caminos"/>
  </r>
  <r>
    <s v="Traspaso De: Marco Sebast?iacute?an"/>
    <x v="3"/>
    <m/>
    <x v="0"/>
    <n v="781422"/>
    <n v="200000"/>
    <m/>
    <s v="Reserva A14"/>
  </r>
  <r>
    <s v="Traspaso De: Pedro Jose Lecaros Sotomayor"/>
    <x v="2"/>
    <m/>
    <x v="1"/>
    <n v="981422"/>
    <n v="5000000"/>
    <m/>
    <m/>
  </r>
  <r>
    <s v="Traspaso A: Construcciones Del Ranco Spa"/>
    <x v="1"/>
    <m/>
    <x v="0"/>
    <n v="5981422"/>
    <m/>
    <n v="-2159683"/>
    <s v="Estado de Pago 1 Tranqueras Los Chilcos"/>
  </r>
  <r>
    <s v="Traspaso A: Construcciones Del Ranco Spa"/>
    <x v="1"/>
    <m/>
    <x v="0"/>
    <n v="3821739"/>
    <m/>
    <n v="-3610318"/>
    <s v="Estado de pago 2 Acceso Chilcos"/>
  </r>
  <r>
    <s v="Traspaso De: Jose Miguel Parro"/>
    <x v="2"/>
    <m/>
    <x v="2"/>
    <n v="211421"/>
    <n v="2500000"/>
    <m/>
    <m/>
  </r>
  <r>
    <s v="App-traspaso De: Inversiones Jopa Limitada"/>
    <x v="2"/>
    <m/>
    <x v="3"/>
    <n v="2711421"/>
    <n v="5000000"/>
    <m/>
    <m/>
  </r>
  <r>
    <s v="Traspaso A: Andres Rieutord"/>
    <x v="4"/>
    <m/>
    <x v="0"/>
    <n v="7711421"/>
    <m/>
    <n v="-70000"/>
    <s v="Reglamento"/>
  </r>
  <r>
    <s v="Traspaso De: Pedro Jose Lecaros Sotomayor"/>
    <x v="2"/>
    <m/>
    <x v="1"/>
    <n v="7641421"/>
    <n v="2500000"/>
    <m/>
    <m/>
  </r>
  <r>
    <s v="Traspaso De: Nicole Odette Rojas Bahamondes"/>
    <x v="3"/>
    <m/>
    <x v="0"/>
    <n v="10141421"/>
    <n v="200000"/>
    <m/>
    <s v="Reserva B-11"/>
  </r>
  <r>
    <s v="Traspaso De: Pedro Jose Lecaros Sotomayor"/>
    <x v="2"/>
    <m/>
    <x v="1"/>
    <n v="10341421"/>
    <n v="5000000"/>
    <m/>
    <m/>
  </r>
  <r>
    <s v="Traspaso De: Camila Stefany Diaz Duran"/>
    <x v="3"/>
    <m/>
    <x v="0"/>
    <n v="15341421"/>
    <n v="200000"/>
    <m/>
    <s v="Reserva C-14"/>
  </r>
  <r>
    <s v="Traspaso A: Sinergia Austral Spa"/>
    <x v="1"/>
    <m/>
    <x v="0"/>
    <n v="15541421"/>
    <m/>
    <n v="-695436"/>
    <s v="Tubo Corrugado HDPE 600 mm Agricola Los Chilcos"/>
  </r>
  <r>
    <s v="Traspaso De: Pedro Jose Lecaros Sotomayor"/>
    <x v="2"/>
    <m/>
    <x v="1"/>
    <n v="14845985"/>
    <n v="5000000"/>
    <m/>
    <m/>
  </r>
  <r>
    <s v="Traspaso De: Pedro Jose Lecaros Sotomayor"/>
    <x v="2"/>
    <m/>
    <x v="1"/>
    <n v="19845985"/>
    <n v="5000000"/>
    <m/>
    <m/>
  </r>
  <r>
    <s v="Traspaso A: Hernan Pizarro"/>
    <x v="1"/>
    <m/>
    <x v="0"/>
    <n v="24845985"/>
    <m/>
    <n v="-574395"/>
    <m/>
  </r>
  <r>
    <s v="Traspaso De: Pedro Jose Lecaros Sotomayor"/>
    <x v="2"/>
    <m/>
    <x v="1"/>
    <n v="24271590"/>
    <n v="5000000"/>
    <m/>
    <m/>
  </r>
  <r>
    <s v="Traspaso De: Servicios Psicologicos Integrales Spa"/>
    <x v="3"/>
    <m/>
    <x v="0"/>
    <n v="29271590"/>
    <n v="200000"/>
    <m/>
    <s v="Reserva A-10"/>
  </r>
  <r>
    <s v="Traspaso De: Cristian Andres Vera Gutierrez"/>
    <x v="3"/>
    <m/>
    <x v="0"/>
    <n v="29471590"/>
    <n v="250000"/>
    <m/>
    <s v="Parte 1 reserva A16/17/18"/>
  </r>
  <r>
    <s v="Traspaso De: Pedro Jose Lecaros Sotomayor"/>
    <x v="2"/>
    <m/>
    <x v="1"/>
    <n v="29721590"/>
    <n v="5000000"/>
    <m/>
    <m/>
  </r>
  <r>
    <s v="Traspaso A: Construcciones Del Ranco Spa"/>
    <x v="1"/>
    <m/>
    <x v="0"/>
    <n v="34721590"/>
    <m/>
    <n v="-3552557"/>
    <s v="Estado de pago 3"/>
  </r>
  <r>
    <s v="Traspaso De: Inversiones Jopa Limitada"/>
    <x v="2"/>
    <m/>
    <x v="3"/>
    <n v="31169033"/>
    <n v="16000000"/>
    <m/>
    <m/>
  </r>
  <r>
    <s v="Traspaso De: Jose Miguel Parro Fluxa"/>
    <x v="2"/>
    <m/>
    <x v="2"/>
    <n v="47169033"/>
    <n v="5000000"/>
    <m/>
    <m/>
  </r>
  <r>
    <s v="Traspaso De: Jose Miguel Parro"/>
    <x v="2"/>
    <m/>
    <x v="2"/>
    <n v="52169033"/>
    <n v="5000000"/>
    <m/>
    <m/>
  </r>
  <r>
    <s v="Traspaso De: Cristian Andres Vera Gutierrez"/>
    <x v="3"/>
    <m/>
    <x v="0"/>
    <n v="57169033"/>
    <n v="350000"/>
    <m/>
    <s v="Parte 2 reserva A16/17/18"/>
  </r>
  <r>
    <s v="Traspaso De: Pedro Jose Lecaros Sotomayor"/>
    <x v="2"/>
    <m/>
    <x v="1"/>
    <n v="57519033"/>
    <n v="5000000"/>
    <m/>
    <m/>
  </r>
  <r>
    <s v="Traspaso De: Mauricio Ignacio Fuentes Rodriguez"/>
    <x v="3"/>
    <m/>
    <x v="0"/>
    <n v="62519033"/>
    <n v="200000"/>
    <m/>
    <m/>
  </r>
  <r>
    <s v="Traspaso A: Camila Stefany Diaz Duran"/>
    <x v="3"/>
    <m/>
    <x v="0"/>
    <n v="62719033"/>
    <m/>
    <n v="-200000"/>
    <s v="Devolucion reserva C14"/>
  </r>
  <r>
    <s v="Traspaso De: Jose Miguel Parro"/>
    <x v="2"/>
    <m/>
    <x v="2"/>
    <n v="62519033"/>
    <n v="4000000"/>
    <m/>
    <m/>
  </r>
  <r>
    <s v="Traspaso A: Geotim Ltda"/>
    <x v="1"/>
    <m/>
    <x v="0"/>
    <n v="66519033"/>
    <m/>
    <n v="-11061"/>
    <s v="Reembolsa envio planos Stgo"/>
  </r>
  <r>
    <s v="Traspaso De: Felipe Leopoldo Pardo Vasquez"/>
    <x v="3"/>
    <m/>
    <x v="0"/>
    <n v="66507972"/>
    <n v="200000"/>
    <m/>
    <s v="Reserva B-14"/>
  </r>
  <r>
    <s v="Cargo Por Aplicacion De Dividendo"/>
    <x v="2"/>
    <m/>
    <x v="4"/>
    <n v="66707972"/>
    <m/>
    <n v="-59739613"/>
    <s v="Prepaga prestamo hipotecario Banco de Chile"/>
  </r>
  <r>
    <s v="Pago Automatico Tarjeta De Credito"/>
    <x v="1"/>
    <m/>
    <x v="0"/>
    <n v="6968359"/>
    <m/>
    <n v="-19859"/>
    <m/>
  </r>
  <r>
    <s v="Traspaso De: Claudio Andr?eacute?s"/>
    <x v="3"/>
    <m/>
    <x v="0"/>
    <n v="6948500"/>
    <n v="200000"/>
    <m/>
    <s v="Reserva B-12"/>
  </r>
  <r>
    <s v="Traspaso De: Molina Saavedra Alberto Ricardo"/>
    <x v="3"/>
    <m/>
    <x v="0"/>
    <n v="7148500"/>
    <n v="200000"/>
    <m/>
    <s v="Reserva B-8"/>
  </r>
  <r>
    <s v="Traspaso De: Lisssette Patricia Riquelme Martinez"/>
    <x v="3"/>
    <m/>
    <x v="0"/>
    <n v="7348500"/>
    <n v="200000"/>
    <m/>
    <s v="Reserva B-8"/>
  </r>
  <r>
    <s v="Traspaso De: Rodolfo Alexis Utreras"/>
    <x v="3"/>
    <s v="B9 - RODOLFO UTRERAS"/>
    <x v="0"/>
    <n v="7548500"/>
    <n v="200000"/>
    <m/>
    <s v="Reserva B-9"/>
  </r>
  <r>
    <s v="Traspaso A: Lissette Riquelme"/>
    <x v="3"/>
    <m/>
    <x v="0"/>
    <n v="7748500"/>
    <m/>
    <n v="-200000"/>
    <s v="Reembolso reserva B-8"/>
  </r>
  <r>
    <s v="Traspaso De: Mauricio Ignacio Fuentes Rodriguez"/>
    <x v="3"/>
    <m/>
    <x v="0"/>
    <n v="7548500"/>
    <n v="200000"/>
    <m/>
    <s v="Reserva C-18"/>
  </r>
  <r>
    <s v="Traspaso De: Edelmira Zulema Reyes Urbina"/>
    <x v="3"/>
    <m/>
    <x v="0"/>
    <n v="7748500"/>
    <n v="200000"/>
    <m/>
    <s v="Reserva B-6"/>
  </r>
  <r>
    <s v="Traspaso De: Lisssette Patricia Riquelme Martinez"/>
    <x v="3"/>
    <m/>
    <x v="0"/>
    <n v="7948500"/>
    <n v="200000"/>
    <m/>
    <s v="Reserva B-7"/>
  </r>
  <r>
    <s v="Traspaso De: San Martin Vargas Carlos Eduardo"/>
    <x v="3"/>
    <m/>
    <x v="0"/>
    <n v="8148500"/>
    <n v="200000"/>
    <m/>
    <s v="Reserva B-13"/>
  </r>
  <r>
    <s v="Traspaso A: Asesorias Ecox Spa"/>
    <x v="1"/>
    <m/>
    <x v="0"/>
    <n v="8348500"/>
    <m/>
    <n v="-100000"/>
    <s v="Servicio contable"/>
  </r>
  <r>
    <s v="Traspaso De: Hector Bernardo Maldonado Munoz"/>
    <x v="3"/>
    <m/>
    <x v="0"/>
    <n v="8248500"/>
    <n v="200000"/>
    <m/>
    <s v="Reserva B-16"/>
  </r>
  <r>
    <s v="Traspaso De: Lizzette Guajardo Vargas"/>
    <x v="3"/>
    <m/>
    <x v="0"/>
    <n v="8448500"/>
    <n v="200000"/>
    <m/>
    <s v="Reserva A-9"/>
  </r>
  <r>
    <s v="Traspaso De: Johanns Edward Agurto Rozas"/>
    <x v="3"/>
    <m/>
    <x v="0"/>
    <n v="8648500"/>
    <n v="200000"/>
    <m/>
    <s v="Reserva C-17"/>
  </r>
  <r>
    <s v="Traspaso A: Conrad Pablo Zlch Parra"/>
    <x v="4"/>
    <m/>
    <x v="0"/>
    <n v="8848500"/>
    <m/>
    <n v="-40000"/>
    <s v="Copia plano inscrito"/>
  </r>
  <r>
    <s v="Pago En Sii.cl*"/>
    <x v="5"/>
    <m/>
    <x v="0"/>
    <n v="8808500"/>
    <m/>
    <n v="-102492"/>
    <m/>
  </r>
  <r>
    <s v="Traspaso A: Construcciones Del Ranco Spa"/>
    <x v="1"/>
    <m/>
    <x v="0"/>
    <n v="8706008"/>
    <m/>
    <n v="-1322892"/>
    <m/>
  </r>
  <r>
    <s v="Traspaso A: Construcciones Del Ranco Spa"/>
    <x v="1"/>
    <m/>
    <x v="0"/>
    <n v="7383116"/>
    <m/>
    <n v="-2159683"/>
    <m/>
  </r>
  <r>
    <s v="Traspaso A: Construcciones Del Ranco Spa"/>
    <x v="1"/>
    <m/>
    <x v="0"/>
    <n v="5223433"/>
    <m/>
    <n v="-70545"/>
    <m/>
  </r>
  <r>
    <s v="Traspaso A: Benjamin Lecaros"/>
    <x v="1"/>
    <m/>
    <x v="5"/>
    <n v="5152888"/>
    <m/>
    <n v="-113639"/>
    <m/>
  </r>
  <r>
    <s v="Deposito En Efectivo N° 2941600"/>
    <x v="3"/>
    <m/>
    <x v="0"/>
    <n v="5039249"/>
    <n v="3500000"/>
    <m/>
    <s v="Promesa Katherine A-10"/>
  </r>
  <r>
    <s v="Comision Anual Linea De Credito Automatica"/>
    <x v="6"/>
    <m/>
    <x v="0"/>
    <n v="8539249"/>
    <m/>
    <n v="-103638"/>
    <m/>
  </r>
  <r>
    <s v="Traspaso De: Valentina Michelle Aranda Espinoza"/>
    <x v="3"/>
    <s v="A5 - VALENTINA ARANDA"/>
    <x v="0"/>
    <n v="8435611"/>
    <n v="200000"/>
    <m/>
    <s v="Reserva A-5"/>
  </r>
  <r>
    <s v="Traspaso A: La Nube Fotografia Ltda."/>
    <x v="1"/>
    <m/>
    <x v="0"/>
    <n v="8635611"/>
    <m/>
    <n v="-178500"/>
    <m/>
  </r>
  <r>
    <s v="Traspaso A: Geotim Ltda"/>
    <x v="1"/>
    <m/>
    <x v="0"/>
    <n v="8457111"/>
    <m/>
    <n v="-946050"/>
    <s v="instalacion alcantarill"/>
  </r>
  <r>
    <s v="Traspaso A: Servicios Psicologicos Integrales"/>
    <x v="3"/>
    <m/>
    <x v="0"/>
    <n v="7511061"/>
    <m/>
    <n v="-200000"/>
    <s v="Reembolso reserva A-13"/>
  </r>
  <r>
    <s v="Traspaso A: Benjamin Lecaros"/>
    <x v="1"/>
    <m/>
    <x v="5"/>
    <n v="7311061"/>
    <m/>
    <n v="-19909"/>
    <s v="Tekkrom"/>
  </r>
  <r>
    <s v="Dep.cheq.otros Bancos N° 4485178"/>
    <x v="2"/>
    <m/>
    <x v="6"/>
    <n v="7291152"/>
    <n v="42000000"/>
    <m/>
    <s v="Prestamos Felipe Hiriart"/>
  </r>
  <r>
    <s v="Deposito Con Cheque Mismo Banco N° 3956722"/>
    <x v="2"/>
    <m/>
    <x v="7"/>
    <n v="49291152"/>
    <n v="260000000"/>
    <m/>
    <s v="Prestamos Dominique Hiriat"/>
  </r>
  <r>
    <s v="Traspaso De: Valentina Michelle Aranda Espinoza"/>
    <x v="3"/>
    <s v="A5 - VALENTINA ARANDA"/>
    <x v="0"/>
    <n v="309291152"/>
    <n v="4800000"/>
    <m/>
    <s v="Pie parcela A-5"/>
  </r>
  <r>
    <s v="Traspaso De: Miguel Jesus Torres Agreda"/>
    <x v="3"/>
    <m/>
    <x v="0"/>
    <n v="314091152"/>
    <n v="200000"/>
    <m/>
    <s v="Reserva B-5"/>
  </r>
  <r>
    <s v="Traspaso A: Asesorias Ecox Spa"/>
    <x v="1"/>
    <m/>
    <x v="0"/>
    <n v="314291152"/>
    <m/>
    <n v="-100000"/>
    <s v="Servicio contable"/>
  </r>
  <r>
    <s v="Traspaso A: Benjamin Lecaros"/>
    <x v="1"/>
    <m/>
    <x v="5"/>
    <n v="314191152"/>
    <m/>
    <n v="-9674"/>
    <s v="Envio chilexpress"/>
  </r>
  <r>
    <s v="Traspaso A: Conrad Pablo Zlch Parra"/>
    <x v="4"/>
    <m/>
    <x v="0"/>
    <n v="314181478"/>
    <m/>
    <n v="-27500"/>
    <s v="Set documentos"/>
  </r>
  <r>
    <s v="Traspaso De: Manuel Alejandro Jeldres Stuardo"/>
    <x v="3"/>
    <m/>
    <x v="0"/>
    <n v="314153978"/>
    <n v="200000"/>
    <m/>
    <s v="Reserva A-3"/>
  </r>
  <r>
    <s v="Traspaso A: Andres Rieutord"/>
    <x v="4"/>
    <m/>
    <x v="0"/>
    <n v="314353978"/>
    <m/>
    <n v="-10000"/>
    <m/>
  </r>
  <r>
    <s v="Cargo Por Aplicacion De Dividendo"/>
    <x v="2"/>
    <m/>
    <x v="4"/>
    <n v="314343978"/>
    <m/>
    <n v="-300775861"/>
    <m/>
  </r>
  <r>
    <s v="Traspaso A: Benjamin Lecaros"/>
    <x v="1"/>
    <m/>
    <x v="5"/>
    <n v="13568117"/>
    <m/>
    <n v="-140949"/>
    <s v="Reembolsa gastos viaje"/>
  </r>
  <r>
    <s v="Pago En Sii.cl*"/>
    <x v="1"/>
    <m/>
    <x v="0"/>
    <n v="13427168"/>
    <m/>
    <n v="-7563"/>
    <m/>
  </r>
  <r>
    <s v="Traspaso De: Distribuidora El Turco Limitada"/>
    <x v="3"/>
    <m/>
    <x v="0"/>
    <n v="13419605"/>
    <n v="1000000"/>
    <m/>
    <s v="Reserva 5 lotes Jorge Berna"/>
  </r>
  <r>
    <s v="Traspaso De: Carlos Alberto Cespedes Lopez"/>
    <x v="3"/>
    <m/>
    <x v="0"/>
    <n v="14419605"/>
    <n v="6600000"/>
    <m/>
    <s v="Pago cuota 1/3"/>
  </r>
  <r>
    <s v="Traspaso De: Rodolfo Andres Ramirez Ortiz"/>
    <x v="3"/>
    <s v="C11 - RODOLFO RAMÍREZ"/>
    <x v="0"/>
    <n v="21019605"/>
    <n v="200000"/>
    <m/>
    <s v="Reserva lote C-11"/>
  </r>
  <r>
    <s v="Pago Automatico Tarjeta De Credito"/>
    <x v="1"/>
    <m/>
    <x v="0"/>
    <n v="21219605"/>
    <m/>
    <n v="-901592"/>
    <m/>
  </r>
  <r>
    <s v="Traspaso A: Andres Rieutord"/>
    <x v="4"/>
    <m/>
    <x v="0"/>
    <n v="20318013"/>
    <m/>
    <n v="-60000"/>
    <m/>
  </r>
  <r>
    <s v="Traspaso De: Miguel Jesus Torres Agreda"/>
    <x v="3"/>
    <m/>
    <x v="0"/>
    <n v="20258013"/>
    <n v="200000"/>
    <m/>
    <s v="Reserva lote B3"/>
  </r>
  <r>
    <s v="Recaudacion Y Pagos De Servicios *"/>
    <x v="7"/>
    <m/>
    <x v="0"/>
    <n v="20458013"/>
    <m/>
    <n v="-20000000"/>
    <m/>
  </r>
  <r>
    <s v="Traspaso De: Maria Paz Martinez"/>
    <x v="3"/>
    <m/>
    <x v="0"/>
    <n v="458013"/>
    <n v="200000"/>
    <m/>
    <s v="Reserva B15"/>
  </r>
  <r>
    <s v="Traspaso De: Pamela De Lourdes Ruiz Garces"/>
    <x v="3"/>
    <m/>
    <x v="0"/>
    <n v="658013"/>
    <n v="200000"/>
    <m/>
    <s v="Reserva C7"/>
  </r>
  <r>
    <s v="Traspaso De: Karen Mabel Mardones Leiva"/>
    <x v="3"/>
    <m/>
    <x v="0"/>
    <n v="858013"/>
    <n v="200000"/>
    <m/>
    <s v="Reserva B4"/>
  </r>
  <r>
    <s v="Traspaso De: Blanca Del Pilar Rojas Bahamondes"/>
    <x v="3"/>
    <m/>
    <x v="0"/>
    <n v="1058013"/>
    <n v="200000"/>
    <m/>
    <s v="Reserva A12"/>
  </r>
  <r>
    <s v="Traspaso A: Benjamin Lecaros"/>
    <x v="1"/>
    <m/>
    <x v="5"/>
    <n v="1258013"/>
    <m/>
    <n v="-20000"/>
    <m/>
  </r>
  <r>
    <s v="Traspaso A: Benjamin Lecaros"/>
    <x v="1"/>
    <m/>
    <x v="5"/>
    <n v="1238013"/>
    <m/>
    <n v="-9691"/>
    <m/>
  </r>
  <r>
    <s v="Traspaso A: Benjamin Lecaros"/>
    <x v="1"/>
    <m/>
    <x v="5"/>
    <n v="1228322"/>
    <m/>
    <n v="-36069"/>
    <m/>
  </r>
  <r>
    <s v="Traspaso A: Benjamin Lecaros"/>
    <x v="1"/>
    <m/>
    <x v="5"/>
    <n v="1192253"/>
    <m/>
    <n v="-9528"/>
    <m/>
  </r>
  <r>
    <s v="Traspaso A: Andres Rieutord"/>
    <x v="4"/>
    <m/>
    <x v="0"/>
    <n v="1182725"/>
    <m/>
    <n v="-120000"/>
    <m/>
  </r>
  <r>
    <s v="Traspaso A: Felipe Chavez Torres"/>
    <x v="1"/>
    <m/>
    <x v="0"/>
    <n v="1062725"/>
    <m/>
    <n v="-259074"/>
    <m/>
  </r>
  <r>
    <s v="Traspaso A: Felipe Chavez Torres"/>
    <x v="1"/>
    <m/>
    <x v="0"/>
    <n v="803651"/>
    <m/>
    <n v="-260000"/>
    <m/>
  </r>
  <r>
    <s v="Traspaso A: Andres Rieutord"/>
    <x v="4"/>
    <m/>
    <x v="0"/>
    <n v="543651"/>
    <m/>
    <n v="-50000"/>
    <m/>
  </r>
  <r>
    <s v="Traspaso De: Francisco Javier Flore"/>
    <x v="3"/>
    <m/>
    <x v="0"/>
    <n v="493651"/>
    <n v="200000"/>
    <m/>
    <s v="Reserva B2 Francisco"/>
  </r>
  <r>
    <s v="Traspaso De: Roberto Andres Traslavina Lopez"/>
    <x v="3"/>
    <m/>
    <x v="0"/>
    <n v="693651"/>
    <n v="200000"/>
    <m/>
    <s v="Reserva C-14 Roberto"/>
  </r>
  <r>
    <s v="Traspaso De: Cristina Adela Ochoa Adamas"/>
    <x v="3"/>
    <m/>
    <x v="0"/>
    <n v="893651"/>
    <n v="200000"/>
    <m/>
    <s v="Reserva C-1 Cristina"/>
  </r>
  <r>
    <s v="Pago: Inversiones 0965712208"/>
    <x v="7"/>
    <m/>
    <x v="0"/>
    <n v="1093651"/>
    <n v="5000001"/>
    <m/>
    <m/>
  </r>
  <r>
    <s v="Traspaso De: Cifuentes Ortiz Natalia Andrea"/>
    <x v="3"/>
    <m/>
    <x v="0"/>
    <n v="6093652"/>
    <n v="200000"/>
    <m/>
    <s v="Reserva C-12 Natalia"/>
  </r>
  <r>
    <s v="Traspaso A: Geotim Ltda"/>
    <x v="1"/>
    <m/>
    <x v="0"/>
    <n v="6293652"/>
    <m/>
    <n v="-5000000"/>
    <s v="Caminos"/>
  </r>
  <r>
    <s v="Traspaso A: Geotim Ltda"/>
    <x v="1"/>
    <m/>
    <x v="0"/>
    <n v="1293652"/>
    <m/>
    <n v="-950000"/>
    <s v="Caminos"/>
  </r>
  <r>
    <s v="Traspaso A: Andres Rieutord"/>
    <x v="4"/>
    <m/>
    <x v="0"/>
    <n v="343652"/>
    <m/>
    <n v="-120000"/>
    <m/>
  </r>
  <r>
    <s v="Traspaso A: Conrad Pablo Zlch Parra"/>
    <x v="4"/>
    <m/>
    <x v="0"/>
    <n v="223652"/>
    <m/>
    <n v="-27500"/>
    <m/>
  </r>
  <r>
    <s v="Traspaso A: Asesorias Ecox Spa"/>
    <x v="1"/>
    <m/>
    <x v="0"/>
    <n v="196152"/>
    <m/>
    <n v="-100000"/>
    <m/>
  </r>
  <r>
    <s v="Pago: Inversiones 0965712208"/>
    <x v="7"/>
    <m/>
    <x v="0"/>
    <n v="96152"/>
    <n v="6000001"/>
    <m/>
    <m/>
  </r>
  <r>
    <s v="Deposito En Efectivo N° 5584602"/>
    <x v="3"/>
    <s v="B9 - RODOLFO UTRERAS"/>
    <x v="0"/>
    <n v="6096153"/>
    <n v="7000000"/>
    <m/>
    <s v="Pie parcela B-9 Rodolfo"/>
  </r>
  <r>
    <s v="Traspaso A: Asesorias Ecox Spa"/>
    <x v="1"/>
    <m/>
    <x v="0"/>
    <n v="13096153"/>
    <m/>
    <n v="-4000000"/>
    <m/>
  </r>
  <r>
    <s v="Traspaso A: Geotim Ltda"/>
    <x v="1"/>
    <m/>
    <x v="0"/>
    <n v="9096153"/>
    <m/>
    <n v="-1900000"/>
    <s v="Caminos"/>
  </r>
  <r>
    <s v="Recaudacion Y Pagos De Servicios *"/>
    <x v="7"/>
    <m/>
    <x v="0"/>
    <n v="7196153"/>
    <m/>
    <n v="-7000000"/>
    <m/>
  </r>
  <r>
    <s v="Traspaso De: Lisssette Patricia Riquelme Martinez"/>
    <x v="3"/>
    <m/>
    <x v="0"/>
    <n v="196153"/>
    <n v="4800000"/>
    <m/>
    <s v="Pie parcela B7"/>
  </r>
  <r>
    <s v="Traspaso De: Francisca Fernanda San Martin Peralta"/>
    <x v="3"/>
    <m/>
    <x v="0"/>
    <n v="4996153"/>
    <n v="200000"/>
    <m/>
    <s v="Reserva B10"/>
  </r>
  <r>
    <s v="Traspaso A: Benjamin Lecaros"/>
    <x v="1"/>
    <m/>
    <x v="5"/>
    <n v="5196153"/>
    <m/>
    <n v="-1710000"/>
    <m/>
  </r>
  <r>
    <s v="Recaudacion Y Pagos De Servicios *"/>
    <x v="7"/>
    <m/>
    <x v="0"/>
    <n v="3486153"/>
    <m/>
    <n v="-3300000"/>
    <m/>
  </r>
  <r>
    <s v="Pago Automatico Tarjeta De Credito"/>
    <x v="1"/>
    <m/>
    <x v="0"/>
    <n v="186153"/>
    <m/>
    <n v="-1175879"/>
    <m/>
  </r>
  <r>
    <s v="Transferencia Desde Linea De Credito"/>
    <x v="6"/>
    <m/>
    <x v="0"/>
    <n v="-989726"/>
    <n v="989726"/>
    <m/>
    <m/>
  </r>
  <r>
    <s v="Traspaso De: Francisco Javier Flore"/>
    <x v="3"/>
    <m/>
    <x v="0"/>
    <n v="0"/>
    <n v="200000"/>
    <m/>
    <m/>
  </r>
  <r>
    <s v="Traspaso A: Andres Rieutord"/>
    <x v="4"/>
    <m/>
    <x v="0"/>
    <n v="200000"/>
    <m/>
    <n v="-50000"/>
    <m/>
  </r>
  <r>
    <s v="Traspaso A: Andres Rieutord"/>
    <x v="4"/>
    <m/>
    <x v="0"/>
    <n v="150000"/>
    <m/>
    <n v="-60000"/>
    <m/>
  </r>
  <r>
    <s v="Traspaso De: Carlos Alberto Cespedes Lopez"/>
    <x v="3"/>
    <m/>
    <x v="0"/>
    <n v="90000"/>
    <n v="6600000"/>
    <m/>
    <m/>
  </r>
  <r>
    <s v="Recaudacion Y Pagos De Servicios *"/>
    <x v="7"/>
    <m/>
    <x v="0"/>
    <n v="6690000"/>
    <m/>
    <n v="-4600000"/>
    <m/>
  </r>
  <r>
    <s v="Amortizacion A Linea De Credito"/>
    <x v="6"/>
    <m/>
    <x v="0"/>
    <n v="2090000"/>
    <m/>
    <n v="-989726"/>
    <m/>
  </r>
  <r>
    <s v="Pago En Tesoreria.cl*"/>
    <x v="5"/>
    <m/>
    <x v="0"/>
    <n v="1100274"/>
    <m/>
    <n v="-351268"/>
    <s v="Contribuciones cuota 1"/>
  </r>
  <r>
    <s v="Pago En Sii.cl*"/>
    <x v="5"/>
    <m/>
    <x v="0"/>
    <n v="749006"/>
    <m/>
    <n v="-439844"/>
    <m/>
  </r>
  <r>
    <s v="Traspaso De: Maritza Marcela Leiva Vera"/>
    <x v="3"/>
    <m/>
    <x v="0"/>
    <n v="309162"/>
    <n v="200000"/>
    <m/>
    <m/>
  </r>
  <r>
    <s v="Abono Por Reversa De Dividendo"/>
    <x v="2"/>
    <m/>
    <x v="4"/>
    <n v="509162"/>
    <n v="17570170"/>
    <m/>
    <m/>
  </r>
  <r>
    <s v="Recaudacion Y Pagos De Servicios *"/>
    <x v="7"/>
    <m/>
    <x v="0"/>
    <n v="18079332"/>
    <m/>
    <n v="-16000000"/>
    <m/>
  </r>
  <r>
    <s v="Traspaso A: Geotim Ltda"/>
    <x v="1"/>
    <m/>
    <x v="0"/>
    <n v="2079332"/>
    <m/>
    <n v="-1309000"/>
    <s v="ADELANTO REPLANTEO"/>
  </r>
  <r>
    <s v="Traspaso De: Cecilia Adelaida Villagra Villagra"/>
    <x v="3"/>
    <m/>
    <x v="0"/>
    <n v="770332"/>
    <n v="200000"/>
    <m/>
    <s v="Reserva C10"/>
  </r>
  <r>
    <s v="Traspaso De: Juan Esteban Sanchez Bascur"/>
    <x v="3"/>
    <m/>
    <x v="0"/>
    <n v="970332"/>
    <n v="200000"/>
    <m/>
    <s v="Reserva C9"/>
  </r>
  <r>
    <s v="Traspaso A: Conrad Pablo Zlch Parra"/>
    <x v="4"/>
    <m/>
    <x v="0"/>
    <n v="1170332"/>
    <m/>
    <n v="-177500"/>
    <m/>
  </r>
  <r>
    <s v="Traspaso A: Andres Rieutord"/>
    <x v="4"/>
    <m/>
    <x v="0"/>
    <n v="992832"/>
    <m/>
    <n v="-90000"/>
    <m/>
  </r>
  <r>
    <s v="Traspaso A: Conrad Pablo Zlch Parra"/>
    <x v="4"/>
    <m/>
    <x v="0"/>
    <n v="902832"/>
    <m/>
    <n v="-35500"/>
    <m/>
  </r>
  <r>
    <s v="Deposito En Efectivo N° 8860669"/>
    <x v="3"/>
    <m/>
    <x v="0"/>
    <n v="867332"/>
    <n v="19800000"/>
    <m/>
    <s v="B12 claudio Quezada"/>
  </r>
  <r>
    <s v="Dep.cheq.otros Bancos N° 4543970"/>
    <x v="3"/>
    <m/>
    <x v="0"/>
    <n v="20667332"/>
    <n v="84200000"/>
    <m/>
    <s v="B6, B16, A15, A9"/>
  </r>
  <r>
    <s v="Traspaso De: Manzano Ruiz Cristian Osvaldo"/>
    <x v="3"/>
    <m/>
    <x v="0"/>
    <n v="104867332"/>
    <n v="200000"/>
    <m/>
    <s v="Reserva parcela C8"/>
  </r>
  <r>
    <s v="Dep.cheq.otros Bancos N° 4543994"/>
    <x v="3"/>
    <m/>
    <x v="0"/>
    <n v="105067332"/>
    <n v="19800000"/>
    <m/>
    <s v="B13 Carlos San Martin"/>
  </r>
  <r>
    <s v="Traspaso A: Benjamin Lecaros"/>
    <x v="1"/>
    <m/>
    <x v="5"/>
    <n v="124867332"/>
    <m/>
    <n v="-3420000"/>
    <s v="Asesoria venta A9 B12 B13 B16"/>
  </r>
  <r>
    <s v="Traspaso De: Valentina Michelle Aranda Espinoza"/>
    <x v="3"/>
    <s v="A5 - VALENTINA ARANDA"/>
    <x v="0"/>
    <n v="121447332"/>
    <n v="1125465"/>
    <m/>
    <s v="Cuota 1/24"/>
  </r>
  <r>
    <s v="Pago: Inversiones 0965712208"/>
    <x v="7"/>
    <m/>
    <x v="0"/>
    <n v="122572797"/>
    <n v="40028395"/>
    <m/>
    <m/>
  </r>
  <r>
    <s v="Traspaso A: Dominique Hiriart"/>
    <x v="2"/>
    <m/>
    <x v="7"/>
    <n v="162601192"/>
    <m/>
    <n v="-5000000"/>
    <m/>
  </r>
  <r>
    <s v="Traspaso A: Dominique Hiriart"/>
    <x v="2"/>
    <m/>
    <x v="7"/>
    <n v="157601192"/>
    <m/>
    <n v="-5000000"/>
    <m/>
  </r>
  <r>
    <s v="Traspaso A: Dominique Hiriart"/>
    <x v="2"/>
    <m/>
    <x v="7"/>
    <n v="152601192"/>
    <m/>
    <n v="-5000000"/>
    <m/>
  </r>
  <r>
    <s v="Traspaso A: Dominique Hiriart"/>
    <x v="2"/>
    <m/>
    <x v="7"/>
    <n v="147601192"/>
    <m/>
    <n v="-5000000"/>
    <m/>
  </r>
  <r>
    <s v="Traspaso A: Dominique Hiriart"/>
    <x v="2"/>
    <m/>
    <x v="7"/>
    <n v="142601192"/>
    <m/>
    <n v="-5000000"/>
    <m/>
  </r>
  <r>
    <s v="Traspaso A: Dominique Hiriart"/>
    <x v="2"/>
    <m/>
    <x v="7"/>
    <n v="137601192"/>
    <m/>
    <n v="-5000000"/>
    <m/>
  </r>
  <r>
    <s v="Traspaso A: Dominique Hiriart"/>
    <x v="2"/>
    <m/>
    <x v="7"/>
    <n v="132601192"/>
    <m/>
    <n v="-5000000"/>
    <m/>
  </r>
  <r>
    <s v="Traspaso A: Dominique Hiriart"/>
    <x v="2"/>
    <m/>
    <x v="7"/>
    <n v="127601192"/>
    <m/>
    <n v="-5000000"/>
    <m/>
  </r>
  <r>
    <s v="Traspaso A: Dominique Hiriart"/>
    <x v="2"/>
    <m/>
    <x v="7"/>
    <n v="122601192"/>
    <m/>
    <n v="-5000000"/>
    <m/>
  </r>
  <r>
    <s v="Traspaso A: Dominique Hiriart"/>
    <x v="2"/>
    <m/>
    <x v="7"/>
    <n v="117601192"/>
    <m/>
    <n v="-5000000"/>
    <m/>
  </r>
  <r>
    <s v="Traspaso A: Dominique Hiriart"/>
    <x v="2"/>
    <m/>
    <x v="7"/>
    <n v="112601192"/>
    <m/>
    <n v="-5000000"/>
    <m/>
  </r>
  <r>
    <s v="Traspaso A: Dominique Hiriart"/>
    <x v="2"/>
    <m/>
    <x v="7"/>
    <n v="107601192"/>
    <m/>
    <n v="-5000000"/>
    <m/>
  </r>
  <r>
    <s v="Traspaso A: Dominique Hiriart"/>
    <x v="2"/>
    <m/>
    <x v="7"/>
    <n v="102601192"/>
    <m/>
    <n v="-5000000"/>
    <m/>
  </r>
  <r>
    <s v="Traspaso A: Dominique Hiriart"/>
    <x v="2"/>
    <m/>
    <x v="7"/>
    <n v="97601192"/>
    <m/>
    <n v="-5000000"/>
    <m/>
  </r>
  <r>
    <s v="Traspaso A: Dominique Hiriart"/>
    <x v="2"/>
    <m/>
    <x v="7"/>
    <n v="92601192"/>
    <m/>
    <n v="-5000000"/>
    <m/>
  </r>
  <r>
    <s v="Traspaso A: Dominique Hiriart"/>
    <x v="2"/>
    <m/>
    <x v="7"/>
    <n v="87601192"/>
    <m/>
    <n v="-5000000"/>
    <m/>
  </r>
  <r>
    <s v="Traspaso A: Dominique Hiriart"/>
    <x v="2"/>
    <m/>
    <x v="7"/>
    <n v="82601192"/>
    <m/>
    <n v="-5000000"/>
    <m/>
  </r>
  <r>
    <s v="Traspaso A: Dominique Hiriart"/>
    <x v="2"/>
    <m/>
    <x v="7"/>
    <n v="77601192"/>
    <m/>
    <n v="-5000000"/>
    <m/>
  </r>
  <r>
    <s v="Traspaso A: Dominique Hiriart"/>
    <x v="2"/>
    <m/>
    <x v="7"/>
    <n v="72601192"/>
    <m/>
    <n v="-5000000"/>
    <m/>
  </r>
  <r>
    <s v="Traspaso A: Dominique Hiriart"/>
    <x v="2"/>
    <m/>
    <x v="7"/>
    <n v="67601192"/>
    <m/>
    <n v="-5000000"/>
    <m/>
  </r>
  <r>
    <s v="Traspaso A: Dominique Hiriart"/>
    <x v="2"/>
    <m/>
    <x v="7"/>
    <n v="62601192"/>
    <m/>
    <n v="-5000000"/>
    <m/>
  </r>
  <r>
    <s v="Traspaso A: Dominique Hiriart"/>
    <x v="2"/>
    <m/>
    <x v="7"/>
    <n v="57601192"/>
    <m/>
    <n v="-5000000"/>
    <m/>
  </r>
  <r>
    <s v="Traspaso A: Dominique Hiriart"/>
    <x v="2"/>
    <m/>
    <x v="7"/>
    <n v="52601192"/>
    <m/>
    <n v="-5000000"/>
    <m/>
  </r>
  <r>
    <s v="Traspaso A: Dominique Hiriart"/>
    <x v="2"/>
    <m/>
    <x v="7"/>
    <n v="47601192"/>
    <m/>
    <n v="-5000000"/>
    <m/>
  </r>
  <r>
    <s v="Traspaso A: Dominique Hiriart"/>
    <x v="2"/>
    <m/>
    <x v="7"/>
    <n v="42601192"/>
    <m/>
    <n v="-5000000"/>
    <m/>
  </r>
  <r>
    <s v="Traspaso A: Dominique Hiriart"/>
    <x v="2"/>
    <m/>
    <x v="7"/>
    <n v="37601192"/>
    <m/>
    <n v="-5000000"/>
    <m/>
  </r>
  <r>
    <s v="Traspaso A: Dominique Hiriart"/>
    <x v="2"/>
    <m/>
    <x v="7"/>
    <n v="32601192"/>
    <m/>
    <n v="-5000000"/>
    <m/>
  </r>
  <r>
    <s v="Traspaso A: Dominique Hiriart"/>
    <x v="2"/>
    <m/>
    <x v="7"/>
    <n v="27601192"/>
    <m/>
    <n v="-5000000"/>
    <m/>
  </r>
  <r>
    <s v="Traspaso A: Dominique Hiriart"/>
    <x v="2"/>
    <m/>
    <x v="7"/>
    <n v="22601192"/>
    <m/>
    <n v="-5000000"/>
    <m/>
  </r>
  <r>
    <s v="Traspaso A: Dominique Hiriart"/>
    <x v="2"/>
    <m/>
    <x v="7"/>
    <n v="17601192"/>
    <m/>
    <n v="-5000000"/>
    <m/>
  </r>
  <r>
    <s v="Traspaso A: Carlos Ciuffardi"/>
    <x v="1"/>
    <m/>
    <x v="0"/>
    <n v="12601192"/>
    <m/>
    <n v="-1068750"/>
    <s v="Comision venta A15"/>
  </r>
  <r>
    <s v="Traspaso A: La Nube Fotografia Ltda."/>
    <x v="1"/>
    <m/>
    <x v="0"/>
    <n v="11532442"/>
    <m/>
    <n v="-178500"/>
    <s v="actualizacion nube"/>
  </r>
  <r>
    <s v="Traspaso De: Rodolfo Alexis Utreras"/>
    <x v="3"/>
    <s v="B9 - RODOLFO UTRERAS"/>
    <x v="0"/>
    <n v="11353942"/>
    <n v="175000"/>
    <m/>
    <s v="Cuota 1/48"/>
  </r>
  <r>
    <s v="Traspaso A: Geotim Ltda"/>
    <x v="1"/>
    <m/>
    <x v="0"/>
    <n v="11528942"/>
    <m/>
    <n v="-800000"/>
    <s v="Comision venta B6"/>
  </r>
  <r>
    <s v="Traspaso A: Asesorias Ecox Spa"/>
    <x v="1"/>
    <m/>
    <x v="0"/>
    <n v="10728942"/>
    <m/>
    <n v="-4000000"/>
    <m/>
  </r>
  <r>
    <s v="Traspaso A: Asesorias Ecox Spa"/>
    <x v="1"/>
    <m/>
    <x v="0"/>
    <n v="6728942"/>
    <m/>
    <n v="-100000"/>
    <s v="Servicio contable"/>
  </r>
  <r>
    <s v="Impuesto Linea De Credito"/>
    <x v="6"/>
    <m/>
    <x v="0"/>
    <n v="6628942"/>
    <m/>
    <n v="-653"/>
    <m/>
  </r>
  <r>
    <s v="Intereses Linea De Credito"/>
    <x v="6"/>
    <m/>
    <x v="0"/>
    <n v="6628289"/>
    <m/>
    <n v="-473"/>
    <m/>
  </r>
  <r>
    <s v="Traspaso A: Benjamin Lecaros"/>
    <x v="1"/>
    <m/>
    <x v="5"/>
    <n v="6627816"/>
    <m/>
    <n v="-2565000"/>
    <s v="Asesoria venta A5 A10 C15"/>
  </r>
  <r>
    <s v="Traspaso A: Hector Varela"/>
    <x v="1"/>
    <m/>
    <x v="0"/>
    <n v="4062816"/>
    <m/>
    <n v="-141152"/>
    <s v="Reembolsa gastos bencina"/>
  </r>
  <r>
    <s v="Traspaso A: Conrad Pablo Zlch Parra"/>
    <x v="4"/>
    <m/>
    <x v="0"/>
    <n v="3921664"/>
    <m/>
    <n v="-155500"/>
    <m/>
  </r>
  <r>
    <s v="Traspaso A: Andres Rieutord"/>
    <x v="4"/>
    <m/>
    <x v="0"/>
    <n v="3766164"/>
    <m/>
    <n v="-60000"/>
    <m/>
  </r>
  <r>
    <s v="Traspaso A: Pamela Ruiz"/>
    <x v="3"/>
    <m/>
    <x v="0"/>
    <n v="3706164"/>
    <m/>
    <n v="-200000"/>
    <s v="Reembolso reserva C7"/>
  </r>
  <r>
    <s v="Pago Automatico Tarjeta De Credito"/>
    <x v="1"/>
    <m/>
    <x v="0"/>
    <n v="3506164"/>
    <m/>
    <n v="-1334208"/>
    <m/>
  </r>
  <r>
    <s v="Traspaso De: Carlos Alberto Cespedes Lopez"/>
    <x v="3"/>
    <m/>
    <x v="0"/>
    <n v="2171956"/>
    <n v="6600000"/>
    <m/>
    <m/>
  </r>
  <r>
    <s v="Recaudacion Y Pagos De Servicios *"/>
    <x v="7"/>
    <m/>
    <x v="0"/>
    <n v="8771956"/>
    <m/>
    <n v="-7500000"/>
    <m/>
  </r>
  <r>
    <s v="Traspaso A: Jorge Ignacio Troncoso Vidal"/>
    <x v="1"/>
    <m/>
    <x v="0"/>
    <n v="1271956"/>
    <m/>
    <n v="-50000"/>
    <s v="Firma en valdivia"/>
  </r>
  <r>
    <s v="Pago En Sii.cl*"/>
    <x v="5"/>
    <m/>
    <x v="0"/>
    <n v="1221956"/>
    <m/>
    <n v="-1232157"/>
    <m/>
  </r>
  <r>
    <s v="Transferencia Desde Linea De Credito"/>
    <x v="6"/>
    <m/>
    <x v="0"/>
    <n v="-10201"/>
    <n v="10201"/>
    <m/>
    <m/>
  </r>
  <r>
    <s v="Traspaso De: Molina Saavedra Alberto Ricardo"/>
    <x v="3"/>
    <m/>
    <x v="0"/>
    <n v="0"/>
    <n v="200000"/>
    <m/>
    <s v="Reserva B-11"/>
  </r>
  <r>
    <s v="Pago Linea De Cred: 018870277108"/>
    <x v="6"/>
    <m/>
    <x v="0"/>
    <n v="200000"/>
    <m/>
    <n v="-10201"/>
    <m/>
  </r>
  <r>
    <s v="Traspaso A: Jorge Ignacio Troncoso Vidal"/>
    <x v="1"/>
    <m/>
    <x v="0"/>
    <n v="189799"/>
    <m/>
    <n v="-50000"/>
    <s v="Firma en valdivia"/>
  </r>
  <r>
    <s v="Traspaso De: Ximena Paz Ormazabal Canelo"/>
    <x v="3"/>
    <m/>
    <x v="0"/>
    <n v="139799"/>
    <n v="200000"/>
    <m/>
    <s v="Reserva C-14"/>
  </r>
  <r>
    <s v="Traspaso A: Rodrigo Rojas Castillo"/>
    <x v="4"/>
    <m/>
    <x v="0"/>
    <n v="339799"/>
    <m/>
    <n v="-133500"/>
    <s v="notaria San pedro de la paz"/>
  </r>
  <r>
    <s v="Traspaso De: Distribuidora El Turco Limitada"/>
    <x v="3"/>
    <m/>
    <x v="0"/>
    <n v="206299"/>
    <n v="7000000"/>
    <m/>
    <s v="Pago 1 de 4 Pie 4 lotes"/>
  </r>
  <r>
    <s v="Traspaso De: Distribuidora El Turco Limitada"/>
    <x v="3"/>
    <m/>
    <x v="0"/>
    <n v="7206299"/>
    <n v="3000000"/>
    <m/>
    <s v="Pago 2 de 4 Pie 4 lotes"/>
  </r>
  <r>
    <s v="Traspaso A: Jorge Ignacio Troncoso Vidal"/>
    <x v="1"/>
    <m/>
    <x v="0"/>
    <n v="10206299"/>
    <m/>
    <n v="-50000"/>
    <s v="Firma en Osorno"/>
  </r>
  <r>
    <s v="Traspaso A: Jorge Ignacio Troncoso Vidal"/>
    <x v="1"/>
    <m/>
    <x v="0"/>
    <n v="10156299"/>
    <m/>
    <n v="-47000"/>
    <s v="Reembolsa gastos a Osorno"/>
  </r>
  <r>
    <s v="Traspaso De: Miguel Bernales Bernales"/>
    <x v="3"/>
    <m/>
    <x v="0"/>
    <n v="10109299"/>
    <n v="200000"/>
    <m/>
    <s v="Reserva C-1"/>
  </r>
  <r>
    <s v="Traspaso De: Evelyn Paola Galarce Gonzalez"/>
    <x v="3"/>
    <m/>
    <x v="0"/>
    <n v="10309299"/>
    <n v="200000"/>
    <m/>
    <s v="Reserva C-4"/>
  </r>
  <r>
    <s v="Recaudacion Y Pagos De Servicios *"/>
    <x v="7"/>
    <m/>
    <x v="0"/>
    <n v="10509299"/>
    <m/>
    <n v="-10000000"/>
    <m/>
  </r>
  <r>
    <s v="Traspaso De: Rodolfo Andres Ramirez Ortiz"/>
    <x v="3"/>
    <s v="C11 - RODOLFO RAMÍREZ"/>
    <x v="0"/>
    <n v="509299"/>
    <n v="4800000"/>
    <m/>
    <s v="Pie parcela C-11"/>
  </r>
  <r>
    <s v="Traspaso A: Felipe Hiriart"/>
    <x v="1"/>
    <m/>
    <x v="0"/>
    <n v="5309299"/>
    <m/>
    <n v="-149376"/>
    <s v="Rendición pasaje Lan a Osorno"/>
  </r>
  <r>
    <s v="Traspaso A: Felipe Hiriart"/>
    <x v="1"/>
    <m/>
    <x v="0"/>
    <n v="5159923"/>
    <m/>
    <n v="-133816"/>
    <s v="Rendición pasaje Lan a Stgo"/>
  </r>
  <r>
    <s v="Traspaso A: Felipe Hiriart"/>
    <x v="1"/>
    <m/>
    <x v="0"/>
    <n v="5026107"/>
    <m/>
    <n v="-152656"/>
    <s v="Arriendo auto Osorno"/>
  </r>
  <r>
    <s v="Traspaso De: Miguel Angel Cortes Grego"/>
    <x v="3"/>
    <m/>
    <x v="0"/>
    <n v="4873451"/>
    <n v="200000"/>
    <m/>
    <s v="Reserva C-13"/>
  </r>
  <r>
    <s v="Traspaso De: Bernales Vergara Miguel Eduardo"/>
    <x v="3"/>
    <m/>
    <x v="0"/>
    <n v="5073451"/>
    <n v="21800000"/>
    <m/>
    <s v="Pago parcela C-1"/>
  </r>
  <r>
    <s v="Recaudacion Y Pagos De Servicios *"/>
    <x v="7"/>
    <m/>
    <x v="0"/>
    <n v="26873451"/>
    <m/>
    <n v="-25000000"/>
    <m/>
  </r>
  <r>
    <s v="Traspaso De: Moncada Sandoval Pedro Simon"/>
    <x v="3"/>
    <m/>
    <x v="0"/>
    <n v="1873451"/>
    <n v="300000"/>
    <m/>
    <s v="Pie parcela C8"/>
  </r>
  <r>
    <s v="Traspaso A: Brayans Stegmayer"/>
    <x v="1"/>
    <m/>
    <x v="0"/>
    <n v="2173451"/>
    <m/>
    <n v="-500000"/>
    <m/>
  </r>
  <r>
    <s v="Traspaso A: Felipe Hiriart"/>
    <x v="1"/>
    <m/>
    <x v="0"/>
    <n v="1673451"/>
    <m/>
    <n v="-590166"/>
    <s v="gastos viaje"/>
  </r>
  <r>
    <s v="Traspaso A: Pedro Lecaros"/>
    <x v="1"/>
    <m/>
    <x v="0"/>
    <n v="1083285"/>
    <m/>
    <n v="-50990"/>
    <s v="viaje"/>
  </r>
  <r>
    <s v="Traspaso De: Moncada Sandoval Pedro Simon"/>
    <x v="3"/>
    <m/>
    <x v="0"/>
    <n v="1032295"/>
    <n v="4500000"/>
    <m/>
    <s v="Pie parcela C8"/>
  </r>
  <r>
    <s v="Traspaso A: Carlos Ciuffardi"/>
    <x v="1"/>
    <m/>
    <x v="0"/>
    <n v="5532295"/>
    <m/>
    <n v="-940500"/>
    <s v="Comision B-5"/>
  </r>
  <r>
    <s v="Traspaso A: Jorge Ignacio Troncoso Vidal"/>
    <x v="1"/>
    <m/>
    <x v="0"/>
    <n v="4591795"/>
    <m/>
    <n v="-50000"/>
    <s v="Firma en Valdivia"/>
  </r>
  <r>
    <s v="Traspaso De: Rodolfo Andres Ramirez Ortiz"/>
    <x v="1"/>
    <s v="C11 - RODOLFO RAMÍREZ"/>
    <x v="0"/>
    <n v="4541795"/>
    <n v="313500"/>
    <m/>
    <s v="Transfiere para pago CBR"/>
  </r>
  <r>
    <s v="Traspaso De: Rodolfo Andres Ramirez Ortiz"/>
    <x v="1"/>
    <s v="C11 - RODOLFO RAMÍREZ"/>
    <x v="0"/>
    <n v="4855295"/>
    <n v="1000"/>
    <m/>
    <m/>
  </r>
  <r>
    <s v="Traspaso A: Felipe Hiriart"/>
    <x v="1"/>
    <m/>
    <x v="0"/>
    <n v="4856295"/>
    <m/>
    <n v="-499026"/>
    <s v="Rendicion 3 viaje a Osorno 29 mayo 25"/>
  </r>
  <r>
    <s v="Traspaso A: Conrad Pablo Zlch Parra"/>
    <x v="1"/>
    <m/>
    <x v="0"/>
    <n v="4357269"/>
    <m/>
    <n v="-313500"/>
    <s v="Pago inscripcion lote C11"/>
  </r>
  <r>
    <s v="Dep.cheq.otros Bancos N° 3456941"/>
    <x v="3"/>
    <m/>
    <x v="0"/>
    <n v="4043769"/>
    <n v="21300000"/>
    <m/>
    <s v="B5"/>
  </r>
  <r>
    <s v="Traspaso De: Maria Salome Ramos"/>
    <x v="3"/>
    <m/>
    <x v="0"/>
    <n v="25343769"/>
    <n v="200000"/>
    <m/>
    <s v="Reserva C7"/>
  </r>
  <r>
    <s v="Traspaso De: Valentina Michelle Aranda Espinoza"/>
    <x v="3"/>
    <s v="A5 - VALENTINA ARANDA"/>
    <x v="0"/>
    <n v="25543769"/>
    <n v="1125465"/>
    <m/>
    <s v="Cuota 2/24"/>
  </r>
  <r>
    <s v="Traspaso A: Asesorias Ecox Spa"/>
    <x v="1"/>
    <m/>
    <x v="0"/>
    <n v="26669234"/>
    <m/>
    <n v="-100000"/>
    <s v="Servicio contable"/>
  </r>
  <r>
    <s v="Traspaso A: Asesorias Ecox Spa"/>
    <x v="1"/>
    <m/>
    <x v="0"/>
    <n v="26569234"/>
    <m/>
    <n v="-4000000"/>
    <m/>
  </r>
  <r>
    <s v="Traspaso De: Molina Saavedra Alberto Ricardo"/>
    <x v="3"/>
    <m/>
    <x v="0"/>
    <n v="22569234"/>
    <n v="4500000"/>
    <m/>
    <s v="Pago 1 de 5 parcela B11"/>
  </r>
  <r>
    <s v="Traspaso A: Sindy Danaee Sandoval Vega"/>
    <x v="1"/>
    <m/>
    <x v="0"/>
    <n v="27069234"/>
    <m/>
    <n v="-752400"/>
    <s v="Comision venta C1"/>
  </r>
  <r>
    <s v="Traspaso A: Geotim Ltda"/>
    <x v="1"/>
    <m/>
    <x v="0"/>
    <n v="26316834"/>
    <m/>
    <n v="-3234800"/>
    <s v="Caminos"/>
  </r>
  <r>
    <s v="Traspaso A: Geotim Ltda"/>
    <x v="1"/>
    <m/>
    <x v="0"/>
    <n v="23082034"/>
    <m/>
    <n v="-1406580"/>
    <s v="Estacas replanteo"/>
  </r>
  <r>
    <s v="Traspaso A: Geotim Ltda"/>
    <x v="1"/>
    <m/>
    <x v="0"/>
    <n v="21675454"/>
    <m/>
    <n v="-5000000"/>
    <s v="Caminos"/>
  </r>
  <r>
    <s v="Traspaso A: Brayans Stegmayer"/>
    <x v="1"/>
    <m/>
    <x v="0"/>
    <n v="16675454"/>
    <m/>
    <n v="-500000"/>
    <m/>
  </r>
  <r>
    <s v="Traspaso De: Molina Saavedra Alberto Ricardo"/>
    <x v="3"/>
    <m/>
    <x v="0"/>
    <n v="16175454"/>
    <n v="4500000"/>
    <m/>
    <s v="Pago 2 de 5 parcela B11"/>
  </r>
  <r>
    <s v="Traspaso A: Carlos Ciuffardi"/>
    <x v="1"/>
    <m/>
    <x v="0"/>
    <n v="20675454"/>
    <m/>
    <n v="-919125"/>
    <s v="Comision A3"/>
  </r>
  <r>
    <s v="Traspaso A: Benjamin Lecaros"/>
    <x v="1"/>
    <m/>
    <x v="5"/>
    <n v="19756329"/>
    <m/>
    <n v="-855000"/>
    <m/>
  </r>
  <r>
    <s v="Impuesto Linea De Credito"/>
    <x v="6"/>
    <m/>
    <x v="0"/>
    <n v="18901329"/>
    <m/>
    <n v="-7"/>
    <m/>
  </r>
  <r>
    <s v="Intereses Linea De Credito"/>
    <x v="6"/>
    <m/>
    <x v="0"/>
    <n v="18901322"/>
    <m/>
    <n v="-5"/>
    <m/>
  </r>
  <r>
    <s v="Traspaso A: Hector Varela"/>
    <x v="1"/>
    <m/>
    <x v="0"/>
    <n v="18901317"/>
    <m/>
    <n v="-216140"/>
    <s v="Reembolsa gastos"/>
  </r>
  <r>
    <s v="Recaudacion Y Pagos De Servicios *"/>
    <x v="7"/>
    <m/>
    <x v="0"/>
    <n v="18685177"/>
    <m/>
    <n v="-18000000"/>
    <m/>
  </r>
  <r>
    <s v="Traspaso De: Rodolfo Alexis Utreras"/>
    <x v="3"/>
    <s v="B9 - RODOLFO UTRERAS"/>
    <x v="0"/>
    <n v="685177"/>
    <n v="375000"/>
    <m/>
    <s v="Cuota 2/48"/>
  </r>
  <r>
    <s v="Deposito En Efectivo N° 8024900"/>
    <x v="3"/>
    <m/>
    <x v="0"/>
    <n v="1060177"/>
    <n v="20000000"/>
    <m/>
    <s v="B15"/>
  </r>
  <r>
    <s v="Traspaso A: Maria Martinez"/>
    <x v="3"/>
    <m/>
    <x v="0"/>
    <n v="21060177"/>
    <m/>
    <n v="-44500"/>
    <s v="Reembolsa saldo a favor parcela B-15"/>
  </r>
  <r>
    <s v="Dep.cheq.otros Bancos N° 8024899"/>
    <x v="3"/>
    <m/>
    <x v="0"/>
    <n v="21015677"/>
    <n v="41100000"/>
    <m/>
    <s v="B3 y B14"/>
  </r>
  <r>
    <s v="Dep.cheq.otros Bancos N° 6576926"/>
    <x v="3"/>
    <m/>
    <x v="0"/>
    <n v="62115677"/>
    <n v="21800000"/>
    <m/>
    <s v="A3"/>
  </r>
  <r>
    <s v="Traspaso A: Denis Marcelo Bustos Fuentealba"/>
    <x v="1"/>
    <m/>
    <x v="0"/>
    <n v="83915677"/>
    <m/>
    <n v="-75000"/>
    <s v="Firma Temuco"/>
  </r>
  <r>
    <s v="Traspaso De: Molina Saavedra Alberto Ricardo"/>
    <x v="3"/>
    <m/>
    <x v="0"/>
    <n v="83840677"/>
    <n v="4500000"/>
    <m/>
    <s v="Pago 3 de 5 parcela B11"/>
  </r>
  <r>
    <s v="Pago: Inversiones 0965712208"/>
    <x v="7"/>
    <m/>
    <x v="0"/>
    <n v="88340677"/>
    <n v="18000000"/>
    <m/>
    <m/>
  </r>
  <r>
    <s v="Pago: Inversiones 0965712208"/>
    <x v="7"/>
    <m/>
    <x v="0"/>
    <n v="106340677"/>
    <n v="23000001"/>
    <m/>
    <m/>
  </r>
  <r>
    <s v="Traspaso De: Cifuentes Ortiz Natalia Andrea"/>
    <x v="1"/>
    <m/>
    <x v="0"/>
    <n v="129340678"/>
    <n v="155500"/>
    <m/>
    <s v="Deposita para pagar a CBR Paillaco"/>
  </r>
  <r>
    <s v="Traspaso De: Molina Saavedra Alberto Ricardo"/>
    <x v="3"/>
    <m/>
    <x v="0"/>
    <n v="129496178"/>
    <n v="4500000"/>
    <m/>
    <m/>
  </r>
  <r>
    <s v="Traspaso A: Maria Paz Amenabar"/>
    <x v="1"/>
    <m/>
    <x v="0"/>
    <n v="133996178"/>
    <m/>
    <n v="-200000"/>
    <m/>
  </r>
  <r>
    <s v="Traspaso A: Conrad Pablo Zlch Parra"/>
    <x v="1"/>
    <m/>
    <x v="0"/>
    <n v="133796178"/>
    <m/>
    <n v="-155500"/>
    <s v="Pago inscripcion lote C12"/>
  </r>
  <r>
    <s v="Traspaso A: Andres Rieutord"/>
    <x v="3"/>
    <m/>
    <x v="0"/>
    <n v="133640678"/>
    <m/>
    <n v="-160000"/>
    <s v="Usa monto de saldo a favor de parcela C-13 para pago notaría"/>
  </r>
  <r>
    <s v="Traspaso A: Miguel Cortes"/>
    <x v="3"/>
    <m/>
    <x v="0"/>
    <n v="133480678"/>
    <m/>
    <n v="-40000"/>
    <s v="Reembolsa saldo a favor parcela C-13"/>
  </r>
  <r>
    <s v="Traspaso De: Lisssette Patricia Riquelme Martinez"/>
    <x v="3"/>
    <s v="B7 - LISSETTE RIQUELME"/>
    <x v="0"/>
    <n v="133440678"/>
    <n v="844174"/>
    <m/>
    <m/>
  </r>
  <r>
    <s v="Traspaso De: Molina Saavedra Alberto Ricardo"/>
    <x v="3"/>
    <m/>
    <x v="0"/>
    <n v="134284852"/>
    <n v="1800000"/>
    <m/>
    <m/>
  </r>
  <r>
    <s v="Traspaso A: Dominique Hiriart"/>
    <x v="2"/>
    <m/>
    <x v="7"/>
    <n v="136084852"/>
    <m/>
    <n v="-118348443"/>
    <s v="Paga deuda"/>
  </r>
  <r>
    <s v="Traspaso De: Juan Esteban Sanchez Bascur"/>
    <x v="3"/>
    <m/>
    <x v="0"/>
    <n v="17736409"/>
    <n v="4800000"/>
    <m/>
    <s v="Pie parcela C9"/>
  </r>
  <r>
    <s v="Traspaso A: Benjamin Lecaros"/>
    <x v="1"/>
    <m/>
    <x v="5"/>
    <n v="22536409"/>
    <m/>
    <n v="-2565000"/>
    <m/>
  </r>
  <r>
    <s v="Traspaso A: Carlos Ciuffardi"/>
    <x v="1"/>
    <m/>
    <x v="0"/>
    <n v="19971409"/>
    <m/>
    <n v="-1859625"/>
    <m/>
  </r>
  <r>
    <s v="Traspaso A: Martin Gouet"/>
    <x v="1"/>
    <m/>
    <x v="0"/>
    <n v="18111784"/>
    <m/>
    <n v="-50000"/>
    <s v="Firma de Puerto Montt"/>
  </r>
  <r>
    <s v="Recaudacion Y Pagos De Servicios *"/>
    <x v="7"/>
    <m/>
    <x v="0"/>
    <n v="18061784"/>
    <m/>
    <n v="-16000000"/>
    <m/>
  </r>
  <r>
    <s v="Pago Automatico Tarjeta De Credito"/>
    <x v="1"/>
    <m/>
    <x v="0"/>
    <n v="2061784"/>
    <m/>
    <n v="-498867"/>
    <m/>
  </r>
  <r>
    <s v="Traspaso A: Juan Nicolas Espinoza"/>
    <x v="1"/>
    <m/>
    <x v="0"/>
    <n v="1562917"/>
    <m/>
    <n v="-100035"/>
    <s v="Firma + retiro VV en Los Angeles"/>
  </r>
  <r>
    <s v="Pago: Inversiones 0965712208"/>
    <x v="7"/>
    <m/>
    <x v="0"/>
    <n v="1462882"/>
    <n v="16000000"/>
    <m/>
    <m/>
  </r>
  <r>
    <s v="Pago: Inversiones 0965712208"/>
    <x v="7"/>
    <m/>
    <x v="0"/>
    <n v="17462882"/>
    <n v="19569256"/>
    <m/>
    <m/>
  </r>
  <r>
    <s v="Pago En Sii.cl*"/>
    <x v="5"/>
    <m/>
    <x v="0"/>
    <n v="37032138"/>
    <m/>
    <n v="-894739"/>
    <s v="F29"/>
  </r>
  <r>
    <s v="Dep.cheq.otros Bancos N° 8025625"/>
    <x v="3"/>
    <m/>
    <x v="0"/>
    <n v="36137399"/>
    <n v="19800000"/>
    <m/>
    <s v="B8"/>
  </r>
  <r>
    <s v="Pago En Tesoreria.cl*"/>
    <x v="5"/>
    <m/>
    <x v="0"/>
    <n v="55937399"/>
    <m/>
    <n v="-351268"/>
    <s v="Contribuciones  "/>
  </r>
  <r>
    <s v="Traspaso De: Juan Gonzalo Arias"/>
    <x v="3"/>
    <m/>
    <x v="0"/>
    <n v="55586131"/>
    <n v="300000"/>
    <m/>
    <s v="Reserva A4 + D11"/>
  </r>
  <r>
    <s v="Traspaso A: Felipe Hiriart"/>
    <x v="2"/>
    <m/>
    <x v="6"/>
    <n v="55886131"/>
    <m/>
    <n v="-5000000"/>
    <m/>
  </r>
  <r>
    <s v="Traspaso A: Felipe Hiriart"/>
    <x v="2"/>
    <m/>
    <x v="6"/>
    <n v="50886131"/>
    <m/>
    <n v="-3751403"/>
    <m/>
  </r>
  <r>
    <s v="Traspaso A: Felipe Hiriart"/>
    <x v="2"/>
    <m/>
    <x v="6"/>
    <n v="47134728"/>
    <m/>
    <n v="-5000000"/>
    <m/>
  </r>
  <r>
    <s v="Traspaso A: Felipe Hiriart"/>
    <x v="2"/>
    <m/>
    <x v="6"/>
    <n v="42134728"/>
    <m/>
    <n v="-5000000"/>
    <m/>
  </r>
  <r>
    <s v="Traspaso A: Felipe Hiriart"/>
    <x v="2"/>
    <m/>
    <x v="6"/>
    <n v="37134728"/>
    <m/>
    <n v="-5000000"/>
    <m/>
  </r>
  <r>
    <s v="Traspaso A: Felipe Hiriart"/>
    <x v="2"/>
    <m/>
    <x v="6"/>
    <n v="32134728"/>
    <m/>
    <n v="-5000000"/>
    <m/>
  </r>
  <r>
    <s v="Traspaso A: Felipe Hiriart"/>
    <x v="2"/>
    <m/>
    <x v="6"/>
    <n v="27134728"/>
    <m/>
    <n v="-5000000"/>
    <m/>
  </r>
  <r>
    <s v="Traspaso A: Felipe Hiriart"/>
    <x v="2"/>
    <m/>
    <x v="6"/>
    <n v="22134728"/>
    <m/>
    <n v="-5000000"/>
    <m/>
  </r>
  <r>
    <s v="Traspaso A: Felipe Hiriart"/>
    <x v="2"/>
    <m/>
    <x v="6"/>
    <n v="17134728"/>
    <m/>
    <n v="-5000000"/>
    <m/>
  </r>
  <r>
    <s v="Recaudacion Y Pagos De Servicios *"/>
    <x v="7"/>
    <m/>
    <x v="0"/>
    <n v="12134728"/>
    <m/>
    <n v="-11000000"/>
    <m/>
  </r>
  <r>
    <s v="Traspaso De: Juan Gonzalo Arias"/>
    <x v="3"/>
    <m/>
    <x v="0"/>
    <n v="1134728"/>
    <n v="100000"/>
    <m/>
    <s v="Reserva A4 + D11"/>
  </r>
  <r>
    <s v="Dep.cheq.otros Bancos N° 4542919"/>
    <x v="3"/>
    <m/>
    <x v="0"/>
    <n v="1234728"/>
    <n v="19800000"/>
    <m/>
    <s v="C17"/>
  </r>
  <r>
    <s v="Traspaso De: Juan Gonzalo Arias"/>
    <x v="3"/>
    <m/>
    <x v="0"/>
    <n v="21034728"/>
    <n v="5000000"/>
    <m/>
    <s v="A4 + D11"/>
  </r>
  <r>
    <s v="Traspaso De: Juan Gonzalo Arias"/>
    <x v="3"/>
    <m/>
    <x v="0"/>
    <n v="26034728"/>
    <n v="5000000"/>
    <m/>
    <s v="A4 + D11"/>
  </r>
  <r>
    <s v="Traspaso A: Benjamin Lecaros"/>
    <x v="1"/>
    <m/>
    <x v="5"/>
    <n v="31034728"/>
    <m/>
    <n v="-855000"/>
    <m/>
  </r>
  <r>
    <s v="Recaudacion Y Pagos De Servicios *"/>
    <x v="7"/>
    <m/>
    <x v="0"/>
    <n v="30179728"/>
    <m/>
    <n v="-29000000"/>
    <m/>
  </r>
  <r>
    <s v="Traspaso De: Juan Gonzalo Arias"/>
    <x v="3"/>
    <m/>
    <x v="0"/>
    <n v="1179728"/>
    <n v="5000000"/>
    <m/>
    <s v="A4 + D11"/>
  </r>
  <r>
    <s v="Traspaso De: Juan Gonzalo Arias"/>
    <x v="3"/>
    <m/>
    <x v="0"/>
    <n v="6179728"/>
    <n v="5000000"/>
    <m/>
    <s v="A4 + D11"/>
  </r>
  <r>
    <s v="Recaudacion Y Pagos De Servicios *"/>
    <x v="7"/>
    <m/>
    <x v="0"/>
    <n v="11179728"/>
    <m/>
    <n v="-9000000"/>
    <m/>
  </r>
  <r>
    <s v="Traspaso A: Benjamin Lecaros"/>
    <x v="1"/>
    <m/>
    <x v="5"/>
    <n v="2179728"/>
    <m/>
    <n v="-855000"/>
    <s v="Asesoria Venta B8"/>
  </r>
  <r>
    <s v="Traspaso A: Andres Rieutord"/>
    <x v="4"/>
    <m/>
    <x v="0"/>
    <n v="1324728"/>
    <m/>
    <n v="-60000"/>
    <s v="Promesa C9"/>
  </r>
  <r>
    <s v="Traspaso A: Andres Rieutord"/>
    <x v="4"/>
    <m/>
    <x v="0"/>
    <n v="1264728"/>
    <m/>
    <n v="-120000"/>
    <s v="Escritura B11"/>
  </r>
  <r>
    <s v="Traspaso A: Andres Rieutord"/>
    <x v="4"/>
    <m/>
    <x v="0"/>
    <n v="1144728"/>
    <m/>
    <n v="-35000"/>
    <m/>
  </r>
  <r>
    <s v="Traspaso De: Juan Gonzalo Arias"/>
    <x v="3"/>
    <m/>
    <x v="0"/>
    <n v="1109728"/>
    <n v="5000000"/>
    <m/>
    <s v="A4 + D11"/>
  </r>
  <r>
    <s v="Traspaso De: Juan Gonzalo Arias"/>
    <x v="3"/>
    <m/>
    <x v="0"/>
    <n v="6109728"/>
    <n v="5000000"/>
    <m/>
    <s v="A4 + D11"/>
  </r>
  <r>
    <s v="Recaudacion Y Pagos De Servicios *"/>
    <x v="7"/>
    <m/>
    <x v="0"/>
    <n v="11109728"/>
    <m/>
    <n v="-10000000"/>
    <m/>
  </r>
  <r>
    <s v="Traspaso A: Conrad Pablo Zlch Parra"/>
    <x v="4"/>
    <m/>
    <x v="0"/>
    <n v="1109728"/>
    <m/>
    <n v="-155500"/>
    <s v="Inscripcion B11"/>
  </r>
  <r>
    <s v="Deposito En Efectivo N° 6443695"/>
    <x v="3"/>
    <m/>
    <x v="0"/>
    <n v="954228"/>
    <n v="21800000"/>
    <m/>
    <s v="B4"/>
  </r>
  <r>
    <s v="Recaudacion Y Pagos De Servicios *"/>
    <x v="7"/>
    <m/>
    <x v="0"/>
    <n v="22754228"/>
    <m/>
    <n v="-20000000"/>
    <m/>
  </r>
  <r>
    <s v="Traspaso A: Jorge Ignacio Troncoso Vidal"/>
    <x v="1"/>
    <m/>
    <x v="0"/>
    <n v="2754228"/>
    <m/>
    <n v="-50000"/>
    <m/>
  </r>
  <r>
    <s v="Dep.cheq.otros Bancos N° 6443696"/>
    <x v="3"/>
    <m/>
    <x v="0"/>
    <n v="2704228"/>
    <n v="21800000"/>
    <m/>
    <s v="A2"/>
  </r>
  <r>
    <s v="Traspaso A: Pedro Lecaros"/>
    <x v="1"/>
    <m/>
    <x v="0"/>
    <n v="24504228"/>
    <m/>
    <n v="-20000"/>
    <m/>
  </r>
  <r>
    <s v="Traspaso A: Benjamin Lecaros"/>
    <x v="1"/>
    <m/>
    <x v="5"/>
    <n v="24484228"/>
    <m/>
    <n v="-1710000"/>
    <m/>
  </r>
  <r>
    <s v="Traspaso A: Benjamin Lecaros"/>
    <x v="1"/>
    <m/>
    <x v="5"/>
    <n v="22774228"/>
    <m/>
    <n v="-855000"/>
    <m/>
  </r>
  <r>
    <s v="Dep.cheq.otros Bancos N° 3445795"/>
    <x v="3"/>
    <m/>
    <x v="0"/>
    <n v="21919228"/>
    <n v="19800000"/>
    <m/>
    <s v="C16"/>
  </r>
  <r>
    <s v="Recaudacion Y Pagos De Servicios *"/>
    <x v="7"/>
    <m/>
    <x v="0"/>
    <n v="41719228"/>
    <m/>
    <n v="-21000000"/>
    <m/>
  </r>
  <r>
    <s v="Traspaso De: Juan Gonzalo Arias"/>
    <x v="3"/>
    <m/>
    <x v="0"/>
    <n v="20719228"/>
    <n v="5000000"/>
    <m/>
    <s v="A4 + D11"/>
  </r>
  <r>
    <s v="Recaudacion Y Pagos De Servicios *"/>
    <x v="7"/>
    <m/>
    <x v="0"/>
    <n v="25719228"/>
    <m/>
    <n v="-5000000"/>
    <m/>
  </r>
  <r>
    <s v="Traspaso A: Denis Marcelo Bustos Fuentealba"/>
    <x v="1"/>
    <m/>
    <x v="0"/>
    <n v="20719228"/>
    <m/>
    <n v="-75000"/>
    <m/>
  </r>
  <r>
    <s v="Traspaso A: Benjamin Lecaros"/>
    <x v="1"/>
    <m/>
    <x v="5"/>
    <n v="20644228"/>
    <m/>
    <n v="-1710000"/>
    <m/>
  </r>
  <r>
    <s v="Recaudacion Y Pagos De Servicios *"/>
    <x v="7"/>
    <m/>
    <x v="0"/>
    <n v="18934228"/>
    <m/>
    <n v="-18000000"/>
    <m/>
  </r>
  <r>
    <s v="Dep.cheq.otros Bancos N° 2296642"/>
    <x v="3"/>
    <m/>
    <x v="0"/>
    <n v="934228"/>
    <n v="19800000"/>
    <m/>
    <s v="C12"/>
  </r>
  <r>
    <s v="Recaudacion Y Pagos De Servicios *"/>
    <x v="7"/>
    <m/>
    <x v="0"/>
    <n v="20734228"/>
    <m/>
    <n v="-20000000"/>
    <m/>
  </r>
  <r>
    <s v="Traspaso De: Juan Gonzalo Arias"/>
    <x v="3"/>
    <m/>
    <x v="0"/>
    <n v="734228"/>
    <n v="5000000"/>
    <m/>
    <m/>
  </r>
  <r>
    <s v="Recaudacion Y Pagos De Servicios *"/>
    <x v="7"/>
    <m/>
    <x v="0"/>
    <n v="5734228"/>
    <m/>
    <n v="-5000000"/>
    <m/>
  </r>
  <r>
    <s v="Dep.cheq.otros Bancos N° 3081647"/>
    <x v="3"/>
    <m/>
    <x v="0"/>
    <n v="734228"/>
    <n v="21800000"/>
    <m/>
    <s v="A1"/>
  </r>
  <r>
    <s v="Traspaso De: Teresa Andrea Sanhueza"/>
    <x v="3"/>
    <m/>
    <x v="0"/>
    <n v="22534228"/>
    <n v="250000"/>
    <m/>
    <s v="Reserva C6"/>
  </r>
  <r>
    <s v="Traspaso De: Doris Del Pilar Silva"/>
    <x v="3"/>
    <m/>
    <x v="0"/>
    <n v="22784228"/>
    <n v="200000"/>
    <m/>
    <s v="Reserva C2"/>
  </r>
  <r>
    <s v="Recaudacion Y Pagos De Servicios *"/>
    <x v="7"/>
    <m/>
    <x v="0"/>
    <n v="22984228"/>
    <m/>
    <n v="-15600000"/>
    <m/>
  </r>
  <r>
    <s v="Traspaso A: Benjamin Lecaros"/>
    <x v="1"/>
    <m/>
    <x v="5"/>
    <n v="7384228"/>
    <m/>
    <n v="-855000"/>
    <m/>
  </r>
  <r>
    <s v="Traspaso A: Felipe Hiriart"/>
    <x v="1"/>
    <m/>
    <x v="0"/>
    <n v="6529228"/>
    <m/>
    <n v="-1334539"/>
    <s v="Rendicion 4"/>
  </r>
  <r>
    <s v="Traspaso A: Jorge Ignacio Troncoso Vidal"/>
    <x v="1"/>
    <m/>
    <x v="0"/>
    <n v="5194689"/>
    <m/>
    <n v="-37000"/>
    <s v="Rendicion 5, viaje a Osorno"/>
  </r>
  <r>
    <s v="Traspaso A: Jorge Ignacio Troncoso Vidal"/>
    <x v="1"/>
    <m/>
    <x v="0"/>
    <n v="5157689"/>
    <m/>
    <n v="-50000"/>
    <s v="Retiro VV Osorno"/>
  </r>
  <r>
    <s v="Deposito En Efectivo N° 6443688"/>
    <x v="3"/>
    <m/>
    <x v="0"/>
    <n v="5107689"/>
    <n v="4800000"/>
    <m/>
    <s v="Pago pie A14"/>
  </r>
  <r>
    <s v="Recaudacion Y Pagos De Servicios *"/>
    <x v="7"/>
    <m/>
    <x v="0"/>
    <n v="9907689"/>
    <m/>
    <n v="-4000000"/>
    <m/>
  </r>
  <r>
    <s v="Traspaso A: Jorge Ignacio Troncoso Vidal"/>
    <x v="1"/>
    <m/>
    <x v="0"/>
    <n v="5907689"/>
    <m/>
    <n v="-50000"/>
    <m/>
  </r>
  <r>
    <s v="Traspaso A: Asesorias Ecox Spa"/>
    <x v="1"/>
    <m/>
    <x v="0"/>
    <n v="5857689"/>
    <m/>
    <n v="-4000000"/>
    <m/>
  </r>
  <r>
    <s v="Traspaso A: Asesorias Ecox Spa"/>
    <x v="1"/>
    <m/>
    <x v="0"/>
    <n v="1857689"/>
    <m/>
    <n v="-100000"/>
    <s v="Servicio contable"/>
  </r>
  <r>
    <s v="Traspaso De: Evelyn Paola Galarce Gonzalez"/>
    <x v="3"/>
    <m/>
    <x v="0"/>
    <n v="1757689"/>
    <n v="5000000"/>
    <m/>
    <s v="Pie C4"/>
  </r>
  <r>
    <s v="Traspaso A: Hector Varela"/>
    <x v="1"/>
    <m/>
    <x v="0"/>
    <n v="6757689"/>
    <m/>
    <n v="-168871"/>
    <s v="Reembolsa gastos"/>
  </r>
  <r>
    <s v="Traspaso A: Benjamin Lecaros"/>
    <x v="1"/>
    <m/>
    <x v="5"/>
    <n v="6588818"/>
    <m/>
    <n v="-1710000"/>
    <s v="Asesoria venta A14 C4"/>
  </r>
  <r>
    <s v="Recaudacion Y Pagos De Servicios *"/>
    <x v="7"/>
    <m/>
    <x v="0"/>
    <n v="4878818"/>
    <m/>
    <n v="-4000000"/>
    <m/>
  </r>
  <r>
    <s v="Traspaso De: Villota Gallegos Francisco Gabriel"/>
    <x v="3"/>
    <m/>
    <x v="0"/>
    <n v="878818"/>
    <n v="200000"/>
    <m/>
    <s v="Reserva C3"/>
  </r>
  <r>
    <s v="Traspaso De: Rodolfo Alexis Utreras"/>
    <x v="3"/>
    <s v="B9 - RODOLFO UTRERAS"/>
    <x v="0"/>
    <n v="1078818"/>
    <n v="379760"/>
    <m/>
    <m/>
  </r>
  <r>
    <s v="Traspaso De: Valentina Michelle Aranda Espinoza"/>
    <x v="3"/>
    <s v="A5 - VALENTINA ARANDA"/>
    <x v="0"/>
    <n v="1458578"/>
    <n v="1125465"/>
    <m/>
    <m/>
  </r>
  <r>
    <s v="Traspaso A: Jose Manuel Astorga Lanas"/>
    <x v="1"/>
    <m/>
    <x v="8"/>
    <n v="2584043"/>
    <m/>
    <n v="-250476"/>
    <s v="Reembolsa gastos"/>
  </r>
  <r>
    <s v="Traspaso A: Andres Rieutord"/>
    <x v="4"/>
    <m/>
    <x v="0"/>
    <n v="2333567"/>
    <m/>
    <n v="-60000"/>
    <m/>
  </r>
  <r>
    <s v="Traspaso De: Lisssette Patricia Riquelme Martinez"/>
    <x v="3"/>
    <m/>
    <x v="0"/>
    <n v="2273567"/>
    <n v="846000"/>
    <m/>
    <m/>
  </r>
  <r>
    <s v="Recaudacion Y Pagos De Servicios *"/>
    <x v="7"/>
    <m/>
    <x v="0"/>
    <n v="3119567"/>
    <m/>
    <n v="-2000000"/>
    <m/>
  </r>
  <r>
    <s v="Traspaso De: Ximena Paz Ormazabal Canelo"/>
    <x v="3"/>
    <m/>
    <x v="0"/>
    <n v="1119567"/>
    <n v="2000000"/>
    <m/>
    <s v="C14, paga diferencia que faltaba en el vale vista"/>
  </r>
  <r>
    <s v="Pago Automatico Tarjeta De Credito"/>
    <x v="1"/>
    <m/>
    <x v="0"/>
    <n v="3119567"/>
    <m/>
    <n v="-786040"/>
    <s v="Cargo tarjeta de credito, publicidad"/>
  </r>
  <r>
    <s v="Pago: Inversiones 0965712208"/>
    <x v="7"/>
    <m/>
    <x v="0"/>
    <n v="2333527"/>
    <n v="1000000"/>
    <m/>
    <m/>
  </r>
  <r>
    <s v="Pago En Sii.cl*"/>
    <x v="5"/>
    <m/>
    <x v="0"/>
    <n v="3333527"/>
    <m/>
    <n v="-2508612"/>
    <s v="F29"/>
  </r>
  <r>
    <s v="Dep.cheq.otros Bancos N° 4501192"/>
    <x v="3"/>
    <m/>
    <x v="0"/>
    <n v="824915"/>
    <n v="39600000"/>
    <m/>
    <s v="Venta A19 + C18"/>
  </r>
  <r>
    <s v="Recaudacion Y Pagos De Servicios *"/>
    <x v="7"/>
    <m/>
    <x v="0"/>
    <n v="40424915"/>
    <m/>
    <n v="-37700000"/>
    <m/>
  </r>
  <r>
    <s v="Traspaso A: Felipe Hiriart"/>
    <x v="1"/>
    <m/>
    <x v="0"/>
    <n v="2724915"/>
    <m/>
    <n v="-1038218"/>
    <s v="Rendicion 6"/>
  </r>
  <r>
    <s v="Traspaso De: Juan Gonzalo Arias"/>
    <x v="3"/>
    <m/>
    <x v="0"/>
    <n v="1686697"/>
    <n v="4600000"/>
    <m/>
    <s v="A4+D11"/>
  </r>
  <r>
    <s v="Traspaso A: Sebastian Sada Aznar"/>
    <x v="4"/>
    <m/>
    <x v="8"/>
    <n v="6286697"/>
    <m/>
    <n v="-450000"/>
    <s v="Promesa  "/>
  </r>
  <r>
    <s v="Traspaso A: Jorge Ignacio Troncoso Vidal"/>
    <x v="1"/>
    <m/>
    <x v="8"/>
    <n v="5836697"/>
    <m/>
    <n v="-37000"/>
    <s v="Gastos Osorno Jorge Troncoso"/>
  </r>
  <r>
    <s v="Traspaso A: Jorge Ignacio Troncoso Vidal"/>
    <x v="1"/>
    <m/>
    <x v="8"/>
    <n v="5799697"/>
    <m/>
    <n v="-50000"/>
    <s v="Firma de promesa"/>
  </r>
  <r>
    <s v="Traspaso De: Roberto Antonio Farias"/>
    <x v="3"/>
    <m/>
    <x v="0"/>
    <n v="5749697"/>
    <n v="200000"/>
    <m/>
    <s v="Reserva C5 Maria Elena"/>
  </r>
  <r>
    <s v="Traspaso A: Benjamin Lecaros"/>
    <x v="1"/>
    <m/>
    <x v="5"/>
    <n v="5949697"/>
    <m/>
    <n v="-3420000"/>
    <s v="Asesoria venta A4, A19, C18, D11"/>
  </r>
  <r>
    <s v="Traspaso A: German Marquez"/>
    <x v="1"/>
    <m/>
    <x v="8"/>
    <n v="2529697"/>
    <m/>
    <n v="-1000000"/>
    <s v="Topografia German Marquez"/>
  </r>
  <r>
    <s v="Dep.cheq.otros Bancos N° 4791038"/>
    <x v="3"/>
    <m/>
    <x v="0"/>
    <n v="1529697"/>
    <n v="41300000"/>
    <m/>
    <s v="Lotes C13 y C10"/>
  </r>
  <r>
    <s v="Pago: Inversiones 0965712208"/>
    <x v="7"/>
    <m/>
    <x v="0"/>
    <n v="42829697"/>
    <n v="1000000"/>
    <m/>
    <m/>
  </r>
  <r>
    <s v="Traspaso De: Katherinne Andrea Orellana Saez"/>
    <x v="3"/>
    <m/>
    <x v="0"/>
    <n v="43829697"/>
    <n v="7000000"/>
    <m/>
    <s v="Parcela A10"/>
  </r>
  <r>
    <s v="Traspaso A: German Marquez"/>
    <x v="1"/>
    <m/>
    <x v="8"/>
    <n v="50829697"/>
    <m/>
    <n v="-1745950"/>
    <s v="Topografia German Marquez"/>
  </r>
  <r>
    <s v="Recaudacion Y Pagos De Servicios *"/>
    <x v="7"/>
    <m/>
    <x v="0"/>
    <n v="49083747"/>
    <m/>
    <n v="-48000000"/>
    <m/>
  </r>
  <r>
    <s v="Traspaso A: Juan Nicolas Espinoza"/>
    <x v="1"/>
    <m/>
    <x v="0"/>
    <n v="1083747"/>
    <m/>
    <n v="-50000"/>
    <s v="Firma Los Angeles"/>
  </r>
  <r>
    <s v="Traspaso De: Katherinne Andrea Orellana Saez"/>
    <x v="3"/>
    <m/>
    <x v="0"/>
    <n v="1033747"/>
    <n v="4300000"/>
    <m/>
    <s v="Parcela A10"/>
  </r>
  <r>
    <s v="Recaudacion Y Pagos De Servicios *"/>
    <x v="7"/>
    <m/>
    <x v="0"/>
    <n v="5333747"/>
    <m/>
    <n v="-4500000"/>
    <m/>
  </r>
  <r>
    <s v="Traspaso A: Tesoreria Municipal Puerto Octay"/>
    <x v="1"/>
    <m/>
    <x v="8"/>
    <n v="833747"/>
    <m/>
    <n v="-13784"/>
    <s v="Certificado DOM"/>
  </r>
  <r>
    <s v="Traspaso De: Lisssette Patricia Riquelme Riquelme"/>
    <x v="3"/>
    <m/>
    <x v="0"/>
    <n v="819963"/>
    <n v="5000000"/>
    <m/>
    <s v="Adelanta pago parcela B7"/>
  </r>
  <r>
    <s v="Deposito En Efectivo N° 4789770"/>
    <x v="3"/>
    <m/>
    <x v="0"/>
    <n v="5819963"/>
    <n v="55000001"/>
    <m/>
    <s v="Lotes A16, A17, A18 y C7"/>
  </r>
  <r>
    <s v="Dep.cheq.otros Bancos N° 4789767"/>
    <x v="3"/>
    <m/>
    <x v="0"/>
    <n v="60819964"/>
    <n v="33700001"/>
    <m/>
    <s v="Lotes A16, A17, A18 y C7"/>
  </r>
  <r>
    <s v="Pago: Inversiones 0965712208"/>
    <x v="7"/>
    <m/>
    <x v="0"/>
    <n v="94519965"/>
    <n v="262430812"/>
    <m/>
    <m/>
  </r>
  <r>
    <s v="Traspaso A: Inversiones Lonquen Limitada"/>
    <x v="2"/>
    <m/>
    <x v="9"/>
    <n v="356950777"/>
    <m/>
    <n v="-267782920"/>
    <m/>
  </r>
  <r>
    <s v="Traspaso A: Pedro Lecaros"/>
    <x v="2"/>
    <m/>
    <x v="1"/>
    <n v="89167857"/>
    <m/>
    <n v="-5000000"/>
    <m/>
  </r>
  <r>
    <s v="Traspaso A: Pedro Lecaros"/>
    <x v="2"/>
    <m/>
    <x v="1"/>
    <n v="84167857"/>
    <m/>
    <n v="-2500000"/>
    <m/>
  </r>
  <r>
    <s v="Traspaso A: Benjamin Lecaros"/>
    <x v="2"/>
    <m/>
    <x v="5"/>
    <n v="81667857"/>
    <m/>
    <n v="-5000000"/>
    <m/>
  </r>
  <r>
    <s v="Traspaso A: Pedro Lecaros"/>
    <x v="2"/>
    <m/>
    <x v="1"/>
    <n v="76667857"/>
    <m/>
    <n v="-5000000"/>
    <m/>
  </r>
  <r>
    <s v="Traspaso A: Pedro Lecaros"/>
    <x v="2"/>
    <m/>
    <x v="1"/>
    <n v="71667857"/>
    <m/>
    <n v="-5000000"/>
    <m/>
  </r>
  <r>
    <s v="Traspaso A: Pedro Lecaros"/>
    <x v="2"/>
    <m/>
    <x v="1"/>
    <n v="66667857"/>
    <m/>
    <n v="-5000000"/>
    <m/>
  </r>
  <r>
    <s v="Traspaso A: Pedro Lecaros"/>
    <x v="2"/>
    <m/>
    <x v="1"/>
    <n v="61667857"/>
    <m/>
    <n v="-5000000"/>
    <m/>
  </r>
  <r>
    <s v="Traspaso A: Pedro Lecaros"/>
    <x v="2"/>
    <m/>
    <x v="1"/>
    <n v="56667857"/>
    <m/>
    <n v="-5000000"/>
    <m/>
  </r>
  <r>
    <s v="Traspaso A: Benjamin Lecaros"/>
    <x v="1"/>
    <m/>
    <x v="5"/>
    <n v="51667857"/>
    <m/>
    <n v="-5130000"/>
    <s v="Asesoria venta A16, A17, A18, C7, C10, C13"/>
  </r>
  <r>
    <s v="Traspaso De: Benjamin Jose Lecaros Sotomayor"/>
    <x v="2"/>
    <m/>
    <x v="5"/>
    <n v="46537857"/>
    <n v="200000"/>
    <m/>
    <s v="Devolucion 1/2 error transferencia"/>
  </r>
  <r>
    <s v="Traspaso A: Pedro Lecaros"/>
    <x v="2"/>
    <m/>
    <x v="1"/>
    <n v="46737857"/>
    <m/>
    <n v="-5000000"/>
    <m/>
  </r>
  <r>
    <s v="Traspaso A: Jose Miguel Parro Fluxa"/>
    <x v="2"/>
    <m/>
    <x v="2"/>
    <n v="41737857"/>
    <m/>
    <n v="-12500000"/>
    <m/>
  </r>
  <r>
    <s v="Traspaso A: Inversiones Jopa Limitada"/>
    <x v="2"/>
    <m/>
    <x v="3"/>
    <n v="29237857"/>
    <m/>
    <n v="-25000000"/>
    <m/>
  </r>
  <r>
    <s v="Traspaso De: Lisssette Patricia Riquelme Martinez"/>
    <x v="3"/>
    <s v="B7 - LISSETTE RIQUELME"/>
    <x v="0"/>
    <n v="4237857"/>
    <n v="5000000"/>
    <m/>
    <s v="Adelanta pago parcela B7"/>
  </r>
  <r>
    <s v="Traspaso De: Benjamin Jose Lecaros"/>
    <x v="2"/>
    <m/>
    <x v="5"/>
    <n v="9237857"/>
    <n v="4800000"/>
    <m/>
    <s v="Devolucion 2/2 error transferencia"/>
  </r>
  <r>
    <s v="Traspaso De: Rodolfo Andres Ramirez Ortiz"/>
    <x v="3"/>
    <s v="C11 - RODOLFO RAMÍREZ"/>
    <x v="0"/>
    <n v="14037857"/>
    <n v="5000000"/>
    <m/>
    <s v="Adelanta pago parcela C11"/>
  </r>
  <r>
    <s v="Recaudacion Y Pagos De Servicios *"/>
    <x v="7"/>
    <m/>
    <x v="0"/>
    <n v="19037857"/>
    <m/>
    <n v="-18000000"/>
    <m/>
  </r>
  <r>
    <s v="Traspaso A: Benjamin Lecaros"/>
    <x v="1"/>
    <m/>
    <x v="8"/>
    <n v="1037857"/>
    <m/>
    <n v="-6856"/>
    <s v="Escaneo plano tekkrom"/>
  </r>
  <r>
    <s v="Traspaso A: Andres Rieutord"/>
    <x v="4"/>
    <m/>
    <x v="0"/>
    <n v="1031001"/>
    <m/>
    <n v="-60000"/>
    <s v="Mandato C6"/>
  </r>
  <r>
    <s v="Traspaso A: Andres Rieutord"/>
    <x v="4"/>
    <m/>
    <x v="0"/>
    <n v="971001"/>
    <m/>
    <n v="-60000"/>
    <s v="Mandato"/>
  </r>
  <r>
    <s v="Traspaso De: Rodolfo Andres Ramirez Ortiz"/>
    <x v="3"/>
    <m/>
    <x v="0"/>
    <n v="911001"/>
    <n v="5000000"/>
    <m/>
    <s v="Adelanta pago parcela C11"/>
  </r>
  <r>
    <s v="Recaudacion Y Pagos De Servicios *"/>
    <x v="7"/>
    <m/>
    <x v="0"/>
    <n v="5911001"/>
    <m/>
    <n v="-5000000"/>
    <m/>
  </r>
  <r>
    <s v="Traspaso A: Daniel Gebauer"/>
    <x v="1"/>
    <m/>
    <x v="8"/>
    <n v="911001"/>
    <m/>
    <n v="-38400"/>
    <s v="Reembolsa gasto CBR"/>
  </r>
  <r>
    <s v="Traspaso De: Rodolfo Andres Ramirez Ortiz"/>
    <x v="3"/>
    <m/>
    <x v="0"/>
    <n v="872601"/>
    <n v="5000000"/>
    <m/>
    <s v="Adelanta pago parcela C11"/>
  </r>
  <r>
    <s v="Traspaso De: Juan Esteban Sanchez Bascur"/>
    <x v="3"/>
    <s v="C9 - JUAN ESTEBAN SANCHEZ"/>
    <x v="0"/>
    <n v="5872601"/>
    <n v="611111"/>
    <m/>
    <s v="Cuota 1/36"/>
  </r>
  <r>
    <s v="Deposito En Efectivo N° 2946967"/>
    <x v="3"/>
    <m/>
    <x v="0"/>
    <n v="6483712"/>
    <n v="6500000"/>
    <m/>
    <s v="Katherine Orellana A10"/>
  </r>
  <r>
    <s v="Traspaso De: Katherinne Andrea Orellana Saez"/>
    <x v="3"/>
    <m/>
    <x v="0"/>
    <n v="12983712"/>
    <n v="2000000"/>
    <m/>
    <s v="Katherine Orellana A10"/>
  </r>
  <r>
    <s v="Recaudacion Y Pagos De Servicios *"/>
    <x v="7"/>
    <m/>
    <x v="0"/>
    <n v="14983712"/>
    <m/>
    <n v="-9000000"/>
    <m/>
  </r>
  <r>
    <s v="Traspaso A: La Nube Fotografia Ltda."/>
    <x v="1"/>
    <m/>
    <x v="8"/>
    <n v="5983712"/>
    <m/>
    <n v="-535500"/>
    <s v="Nube Puerto Octay"/>
  </r>
  <r>
    <s v="Traspaso De: Rodolfo Alexis Utreras"/>
    <x v="3"/>
    <s v="B9 - RODOLFO UTRERAS"/>
    <x v="0"/>
    <n v="5448212"/>
    <n v="378803"/>
    <m/>
    <m/>
  </r>
  <r>
    <s v="Traspaso A: Asesorias Ecox Spa"/>
    <x v="1"/>
    <m/>
    <x v="0"/>
    <n v="5827015"/>
    <m/>
    <n v="-4000000"/>
    <m/>
  </r>
  <r>
    <s v="Traspaso De: Valentina Michelle Aranda Espinoza"/>
    <x v="3"/>
    <s v="A5 - VALENTINA ARANDA"/>
    <x v="0"/>
    <n v="1827015"/>
    <n v="1144664"/>
    <m/>
    <m/>
  </r>
  <r>
    <s v="Traspaso De: Evelyn Paola Galarce Gonzalez"/>
    <x v="3"/>
    <s v="C4 - EVELYN PAOLA GALARCE"/>
    <x v="0"/>
    <n v="2971679"/>
    <n v="716667"/>
    <m/>
    <s v="Cuota 1/24"/>
  </r>
  <r>
    <s v="Traspaso De: Lisssette Patricia Riquelme Martinez"/>
    <x v="3"/>
    <s v="B7 - LISSETTE RIQUELME"/>
    <x v="0"/>
    <n v="3688346"/>
    <n v="3693898"/>
    <m/>
    <s v="Termina pago B7"/>
  </r>
  <r>
    <s v="Aporte A Fondo Mutuo"/>
    <x v="7"/>
    <m/>
    <x v="0"/>
    <n v="7382244"/>
    <m/>
    <n v="-5000000"/>
    <m/>
  </r>
  <r>
    <s v="Traspaso A: Hector Varela"/>
    <x v="1"/>
    <m/>
    <x v="0"/>
    <n v="2382244"/>
    <m/>
    <n v="-183101"/>
    <s v="Reembolsa gastos bencina"/>
  </r>
  <r>
    <s v="Traspaso A: Benjamin Lecaros"/>
    <x v="1"/>
    <m/>
    <x v="5"/>
    <n v="2199143"/>
    <m/>
    <n v="-85204"/>
    <s v="Planos"/>
  </r>
  <r>
    <s v="Traspaso A: Asesorias Ecox Spa"/>
    <x v="1"/>
    <m/>
    <x v="0"/>
    <n v="2113939"/>
    <m/>
    <n v="-100000"/>
    <s v="contabilidad"/>
  </r>
  <r>
    <s v="Traspaso A: Rios Y Compania Abogados Limitada"/>
    <x v="1"/>
    <m/>
    <x v="0"/>
    <n v="2013939"/>
    <m/>
    <n v="-587685"/>
    <m/>
  </r>
  <r>
    <s v="Pago Automatico Tarjeta De Credito"/>
    <x v="1"/>
    <m/>
    <x v="0"/>
    <n v="1426254"/>
    <m/>
    <n v="-49264"/>
    <s v="publicidad"/>
  </r>
  <r>
    <s v="Traspaso A: Felipe Hiriart"/>
    <x v="1"/>
    <m/>
    <x v="0"/>
    <n v="1376990"/>
    <m/>
    <n v="-570236"/>
    <s v="Rendicion 7"/>
  </r>
  <r>
    <s v="Pago: Inversiones 0965712208"/>
    <x v="7"/>
    <m/>
    <x v="0"/>
    <n v="806754"/>
    <n v="2200000"/>
    <m/>
    <m/>
  </r>
  <r>
    <s v="Pago En Sii.cl*"/>
    <x v="5"/>
    <m/>
    <x v="0"/>
    <n v="3006754"/>
    <m/>
    <n v="-2222647"/>
    <s v="F29"/>
  </r>
  <r>
    <s v="Traspaso A: Benjamin Lecaros"/>
    <x v="1"/>
    <m/>
    <x v="5"/>
    <n v="784107"/>
    <m/>
    <n v="-76160"/>
    <s v="Reembolso Tekkrom"/>
  </r>
  <r>
    <s v="Traspaso A: Andres Rieutord"/>
    <x v="4"/>
    <m/>
    <x v="0"/>
    <n v="707947"/>
    <m/>
    <n v="-40000"/>
    <m/>
  </r>
  <r>
    <s v="Traspaso De: Katherinne Andrea Orellana Saez"/>
    <x v="3"/>
    <m/>
    <x v="0"/>
    <n v="667947"/>
    <n v="2000000"/>
    <m/>
    <s v="Parcela A10 - Katherine"/>
  </r>
  <r>
    <s v="Aporte A Fondo Mutuo"/>
    <x v="7"/>
    <m/>
    <x v="0"/>
    <n v="2667947"/>
    <m/>
    <n v="-2000000"/>
    <m/>
  </r>
  <r>
    <s v="Traspaso A: Conrad Pablo Zlch Parra"/>
    <x v="1"/>
    <m/>
    <x v="0"/>
    <n v="667947"/>
    <m/>
    <n v="-31000"/>
    <s v="Alzamiento C11"/>
  </r>
  <r>
    <s v="Traspaso A: Benjamin Lecaros"/>
    <x v="1"/>
    <m/>
    <x v="5"/>
    <n v="636947"/>
    <m/>
    <n v="-9674"/>
    <m/>
  </r>
  <r>
    <s v="Traspaso De: Galarce Gonzalez Evelyn Paola"/>
    <x v="3"/>
    <s v="C4 - EVELYN PAOLA GALARCE"/>
    <x v="0"/>
    <n v="627273"/>
    <n v="300000"/>
    <m/>
    <s v="Prepaga parcela C4"/>
  </r>
  <r>
    <s v="Traspaso De: Evelyn Paola Galarce Gonzalez"/>
    <x v="3"/>
    <s v="C4 - EVELYN PAOLA GALARCE"/>
    <x v="0"/>
    <n v="927273"/>
    <n v="5000000"/>
    <m/>
    <s v="Prepaga parcela C4"/>
  </r>
  <r>
    <s v="Traspaso A: Felipe Hiriart"/>
    <x v="1"/>
    <m/>
    <x v="0"/>
    <n v="5927273"/>
    <m/>
    <n v="-598208"/>
    <s v="Rendicion 8"/>
  </r>
  <r>
    <s v="Traspaso A: Pedro Lecaros"/>
    <x v="1"/>
    <m/>
    <x v="0"/>
    <n v="5329065"/>
    <m/>
    <n v="-1204109"/>
    <s v="Rendicion 9"/>
  </r>
  <r>
    <s v="Dep.cheq.otros Bancos N° 7841124"/>
    <x v="3"/>
    <m/>
    <x v="0"/>
    <n v="4124956"/>
    <n v="17800000"/>
    <m/>
    <s v="Parcela C-14"/>
  </r>
  <r>
    <s v="Traspaso De: Galarce Gonzalez Evelyn Paola"/>
    <x v="3"/>
    <s v="C4 - EVELYN PAOLA GALARCE"/>
    <x v="0"/>
    <n v="21924956"/>
    <n v="5000000"/>
    <m/>
    <s v="Prepaga parcela C4"/>
  </r>
  <r>
    <s v="Traspaso A: Benjamin Lecaros"/>
    <x v="1"/>
    <m/>
    <x v="5"/>
    <n v="26924956"/>
    <m/>
    <n v="-855000"/>
    <s v="Asesoria venta C14"/>
  </r>
  <r>
    <s v="Traspaso A: Hernan Pizarro"/>
    <x v="1"/>
    <m/>
    <x v="0"/>
    <n v="26069956"/>
    <m/>
    <n v="-344739"/>
    <s v="Arquitectura"/>
  </r>
  <r>
    <s v="Aporte A Fondo Mutuo"/>
    <x v="7"/>
    <m/>
    <x v="0"/>
    <n v="25725217"/>
    <m/>
    <n v="-7500000"/>
    <m/>
  </r>
  <r>
    <s v="Traspaso De: Galarce Gonzalez Evelyn Paola"/>
    <x v="3"/>
    <s v="C4 - EVELYN PAOLA GALARCE"/>
    <x v="0"/>
    <n v="18225217"/>
    <n v="5000000"/>
    <m/>
    <s v="Prepaga parcela C4"/>
  </r>
  <r>
    <s v="Traspaso De: Evelyn Paola Galarce Gonzalez"/>
    <x v="3"/>
    <s v="C4 - EVELYN PAOLA GALARCE"/>
    <x v="0"/>
    <n v="23225217"/>
    <n v="1783333"/>
    <m/>
    <s v="Prepaga parcela C4"/>
  </r>
  <r>
    <s v="Aporte A Fondo Mutuo"/>
    <x v="7"/>
    <m/>
    <x v="0"/>
    <n v="25008550"/>
    <m/>
    <n v="-20000000"/>
    <m/>
  </r>
  <r>
    <s v="Traspaso De: Valentina Michelle Aranda Espinoza"/>
    <x v="3"/>
    <s v="A5 - VALENTINA ARANDA"/>
    <x v="0"/>
    <n v="5008550"/>
    <n v="1150099"/>
    <m/>
    <m/>
  </r>
  <r>
    <s v="Traspaso A: Asesorias Ecox Spa"/>
    <x v="1"/>
    <m/>
    <x v="0"/>
    <n v="6158649"/>
    <m/>
    <n v="-4000000"/>
    <s v="Servicio de gestion"/>
  </r>
  <r>
    <s v="Transferencia De Otro Banco Via Spav"/>
    <x v="3"/>
    <m/>
    <x v="0"/>
    <n v="2158649"/>
    <n v="20146327"/>
    <m/>
    <s v="Parcela A-14"/>
  </r>
  <r>
    <s v="Traspaso De: Lissette Patricia Riquelme Martinez"/>
    <x v="1"/>
    <m/>
    <x v="0"/>
    <n v="22304976"/>
    <n v="155500"/>
    <m/>
    <m/>
  </r>
  <r>
    <s v="Traspaso A: Hector Varela"/>
    <x v="1"/>
    <m/>
    <x v="0"/>
    <n v="22460476"/>
    <m/>
    <n v="-188729"/>
    <s v="Reembolsa gastos"/>
  </r>
  <r>
    <s v="Traspaso A: Conrad Pablo Zlch Parra"/>
    <x v="1"/>
    <m/>
    <x v="0"/>
    <n v="22271747"/>
    <m/>
    <n v="-155500"/>
    <m/>
  </r>
  <r>
    <s v="Traspaso A: Benjamin Lecaros"/>
    <x v="1"/>
    <m/>
    <x v="5"/>
    <n v="22116247"/>
    <m/>
    <n v="-4132500"/>
    <s v="Reembolsa gastos durante el año CBR Rendicion 10"/>
  </r>
  <r>
    <s v="Traspaso De: Juan Esteban Sanchez Bascur"/>
    <x v="3"/>
    <s v="C9 - JUAN ESTEBAN SANCHEZ"/>
    <x v="0"/>
    <n v="17983747"/>
    <n v="614940"/>
    <m/>
    <m/>
  </r>
  <r>
    <s v="Traspaso De: Evelyn Paola Galarce Gonzalez"/>
    <x v="1"/>
    <m/>
    <x v="0"/>
    <n v="18598687"/>
    <n v="164500"/>
    <m/>
    <m/>
  </r>
  <r>
    <s v="Traspaso A: Conrad Pablo Zlch Parra"/>
    <x v="1"/>
    <m/>
    <x v="0"/>
    <n v="18763187"/>
    <m/>
    <n v="-164500"/>
    <m/>
  </r>
  <r>
    <s v="Traspaso De: Rodolfo Alexis Utreras"/>
    <x v="3"/>
    <s v="B9 - RODOLFO UTRERAS"/>
    <x v="0"/>
    <n v="18598687"/>
    <n v="381056"/>
    <m/>
    <m/>
  </r>
  <r>
    <s v="Pago: Inversiones 0965712208"/>
    <x v="7"/>
    <m/>
    <x v="0"/>
    <n v="18979743"/>
    <n v="4000000"/>
    <m/>
    <m/>
  </r>
  <r>
    <s v="Pago: Inversiones 0965712208"/>
    <x v="7"/>
    <m/>
    <x v="0"/>
    <n v="22979743"/>
    <n v="8500001"/>
    <m/>
    <m/>
  </r>
  <r>
    <s v="Traspaso A: Pedro Lecaros"/>
    <x v="2"/>
    <m/>
    <x v="1"/>
    <n v="31479744"/>
    <m/>
    <n v="-5000000"/>
    <m/>
  </r>
  <r>
    <s v="Traspaso A: Inversiones Jopa Limitada"/>
    <x v="2"/>
    <m/>
    <x v="3"/>
    <n v="26479744"/>
    <m/>
    <n v="-10000000"/>
    <m/>
  </r>
  <r>
    <s v="Traspaso A: Pedro Lecaros"/>
    <x v="2"/>
    <m/>
    <x v="1"/>
    <n v="16479744"/>
    <m/>
    <n v="-5000000"/>
    <m/>
  </r>
  <r>
    <s v="Traspaso A: Jose Miguel Parro Fluxa"/>
    <x v="2"/>
    <m/>
    <x v="2"/>
    <n v="11479744"/>
    <m/>
    <n v="-5000000"/>
    <m/>
  </r>
  <r>
    <s v="Traspaso A: Pedro Lecaros"/>
    <x v="2"/>
    <m/>
    <x v="1"/>
    <n v="6479744"/>
    <m/>
    <n v="-5000000"/>
    <m/>
  </r>
  <r>
    <m/>
    <x v="0"/>
    <m/>
    <x v="0"/>
    <n v="1479744"/>
    <m/>
    <m/>
    <m/>
  </r>
  <r>
    <m/>
    <x v="0"/>
    <m/>
    <x v="0"/>
    <n v="1479744"/>
    <m/>
    <m/>
    <m/>
  </r>
  <r>
    <m/>
    <x v="0"/>
    <m/>
    <x v="0"/>
    <n v="1479744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1">
  <r>
    <x v="0"/>
    <s v="SALDO ANTERIOR"/>
    <x v="0"/>
    <m/>
    <m/>
    <n v="702601"/>
    <m/>
    <m/>
    <m/>
  </r>
  <r>
    <x v="1"/>
    <s v="Traspaso A: Construcciones Del Ranco Spa"/>
    <x v="1"/>
    <m/>
    <m/>
    <n v="702601"/>
    <m/>
    <n v="-700000"/>
    <m/>
  </r>
  <r>
    <x v="2"/>
    <s v="Traspaso De: Pedro Jose Lecaros Sotomayor"/>
    <x v="2"/>
    <m/>
    <s v="PLS"/>
    <n v="2601"/>
    <n v="5000000"/>
    <m/>
    <m/>
  </r>
  <r>
    <x v="2"/>
    <s v="Traspaso A: Construcciones Del Ranco Spa"/>
    <x v="1"/>
    <m/>
    <m/>
    <n v="5002601"/>
    <m/>
    <n v="-1627022"/>
    <s v="Porton completa estado de pago 1"/>
  </r>
  <r>
    <x v="2"/>
    <s v="Traspaso A: Construcciones Del Ranco Spa"/>
    <x v="1"/>
    <m/>
    <m/>
    <n v="3375579"/>
    <m/>
    <n v="-1351157"/>
    <s v="Completa pago 30 porciento inicial, tranqueras"/>
  </r>
  <r>
    <x v="2"/>
    <s v="Traspaso A: La Nube Fotografia Ltda."/>
    <x v="1"/>
    <m/>
    <m/>
    <n v="2024422"/>
    <m/>
    <n v="-1309000"/>
    <s v="Pago la nube"/>
  </r>
  <r>
    <x v="3"/>
    <s v="Traspaso De: Jose Miguel Parro"/>
    <x v="2"/>
    <m/>
    <s v="JMP"/>
    <n v="715422"/>
    <n v="350000"/>
    <m/>
    <m/>
  </r>
  <r>
    <x v="3"/>
    <s v="Traspaso De: Pedro Jose Lecaros Sotomayor"/>
    <x v="2"/>
    <m/>
    <s v="PLS"/>
    <n v="1065422"/>
    <n v="2500000"/>
    <m/>
    <m/>
  </r>
  <r>
    <x v="3"/>
    <s v="Traspaso De: Jose Miguel Parro"/>
    <x v="2"/>
    <m/>
    <s v="JMP"/>
    <n v="3565422"/>
    <n v="2150000"/>
    <m/>
    <m/>
  </r>
  <r>
    <x v="4"/>
    <s v="Traspaso De: Carlos Alberto Cespedes Lopez"/>
    <x v="3"/>
    <m/>
    <m/>
    <n v="5715422"/>
    <n v="200000"/>
    <m/>
    <s v="Reserva C-18"/>
  </r>
  <r>
    <x v="4"/>
    <s v="Traspaso A: Conrad Pablo Zlch Parra"/>
    <x v="4"/>
    <m/>
    <m/>
    <n v="5915422"/>
    <m/>
    <n v="-177000"/>
    <s v="inscripcion servidumbre caminos"/>
  </r>
  <r>
    <x v="4"/>
    <s v="Traspaso A: Conrad Pablo Zlch Parra"/>
    <x v="4"/>
    <m/>
    <m/>
    <n v="5738422"/>
    <m/>
    <n v="-177000"/>
    <s v="inscripcion servidumbre caminos E1"/>
  </r>
  <r>
    <x v="4"/>
    <s v="Traspaso A: Asesorias Ecox Spa"/>
    <x v="1"/>
    <m/>
    <m/>
    <n v="5561422"/>
    <m/>
    <n v="-100000"/>
    <s v="Servicio contable"/>
  </r>
  <r>
    <x v="4"/>
    <s v="Traspaso A: Andres Rieutord"/>
    <x v="4"/>
    <m/>
    <m/>
    <n v="5461422"/>
    <m/>
    <n v="-80000"/>
    <m/>
  </r>
  <r>
    <x v="5"/>
    <s v="Traspaso De: Inversiones Jopa Limitada"/>
    <x v="2"/>
    <m/>
    <s v="JOPA"/>
    <n v="5381422"/>
    <n v="5000000"/>
    <m/>
    <m/>
  </r>
  <r>
    <x v="5"/>
    <s v="Traspaso A: Geotim Ltda"/>
    <x v="1"/>
    <m/>
    <m/>
    <n v="10381422"/>
    <m/>
    <n v="-5000000"/>
    <s v="Abono parcial a primer 50 por ciento caminos"/>
  </r>
  <r>
    <x v="6"/>
    <s v="Traspaso De: Luis Eduardo Salas Ojeda"/>
    <x v="3"/>
    <m/>
    <m/>
    <n v="5381422"/>
    <n v="200000"/>
    <m/>
    <s v="Reserva A15"/>
  </r>
  <r>
    <x v="6"/>
    <s v="Traspaso De: Katherinne Andrea Orellana Saez"/>
    <x v="3"/>
    <m/>
    <m/>
    <n v="5581422"/>
    <n v="200000"/>
    <m/>
    <s v="Reserva A10"/>
  </r>
  <r>
    <x v="7"/>
    <s v="Traspaso A: Geotim Ltda"/>
    <x v="1"/>
    <m/>
    <m/>
    <n v="5781422"/>
    <m/>
    <n v="-5000000"/>
    <s v="Abono primera mitad caminos"/>
  </r>
  <r>
    <x v="7"/>
    <s v="Traspaso De: Marco Sebast?iacute?an"/>
    <x v="3"/>
    <m/>
    <m/>
    <n v="781422"/>
    <n v="200000"/>
    <m/>
    <s v="Reserva A14"/>
  </r>
  <r>
    <x v="8"/>
    <s v="Traspaso De: Pedro Jose Lecaros Sotomayor"/>
    <x v="2"/>
    <m/>
    <s v="PLS"/>
    <n v="981422"/>
    <n v="5000000"/>
    <m/>
    <m/>
  </r>
  <r>
    <x v="8"/>
    <s v="Traspaso A: Construcciones Del Ranco Spa"/>
    <x v="1"/>
    <m/>
    <m/>
    <n v="5981422"/>
    <m/>
    <n v="-2159683"/>
    <s v="Estado de Pago 1 Tranqueras Los Chilcos"/>
  </r>
  <r>
    <x v="8"/>
    <s v="Traspaso A: Construcciones Del Ranco Spa"/>
    <x v="1"/>
    <m/>
    <m/>
    <n v="3821739"/>
    <m/>
    <n v="-3610318"/>
    <s v="Estado de pago 2 Acceso Chilcos"/>
  </r>
  <r>
    <x v="8"/>
    <s v="Traspaso De: Jose Miguel Parro"/>
    <x v="2"/>
    <m/>
    <s v="JMP"/>
    <n v="211421"/>
    <n v="2500000"/>
    <m/>
    <m/>
  </r>
  <r>
    <x v="8"/>
    <s v="App-traspaso De: Inversiones Jopa Limitada"/>
    <x v="2"/>
    <m/>
    <s v="JOPA"/>
    <n v="2711421"/>
    <n v="5000000"/>
    <m/>
    <m/>
  </r>
  <r>
    <x v="9"/>
    <s v="Traspaso A: Andres Rieutord"/>
    <x v="4"/>
    <m/>
    <m/>
    <n v="7711421"/>
    <m/>
    <n v="-70000"/>
    <s v="Reglamento"/>
  </r>
  <r>
    <x v="9"/>
    <s v="Traspaso De: Pedro Jose Lecaros Sotomayor"/>
    <x v="2"/>
    <m/>
    <s v="PLS"/>
    <n v="7641421"/>
    <n v="2500000"/>
    <m/>
    <m/>
  </r>
  <r>
    <x v="10"/>
    <s v="Traspaso De: Nicole Odette Rojas Bahamondes"/>
    <x v="3"/>
    <m/>
    <m/>
    <n v="10141421"/>
    <n v="200000"/>
    <m/>
    <s v="Reserva B-11"/>
  </r>
  <r>
    <x v="11"/>
    <s v="Traspaso De: Pedro Jose Lecaros Sotomayor"/>
    <x v="2"/>
    <m/>
    <s v="PLS"/>
    <n v="10341421"/>
    <n v="5000000"/>
    <m/>
    <m/>
  </r>
  <r>
    <x v="11"/>
    <s v="Traspaso De: Camila Stefany Diaz Duran"/>
    <x v="3"/>
    <m/>
    <m/>
    <n v="15341421"/>
    <n v="200000"/>
    <m/>
    <s v="Reserva C-14"/>
  </r>
  <r>
    <x v="11"/>
    <s v="Traspaso A: Sinergia Austral Spa"/>
    <x v="1"/>
    <m/>
    <m/>
    <n v="15541421"/>
    <m/>
    <n v="-695436"/>
    <s v="Tubo Corrugado HDPE 600 mm Agricola Los Chilcos"/>
  </r>
  <r>
    <x v="11"/>
    <s v="Traspaso De: Pedro Jose Lecaros Sotomayor"/>
    <x v="2"/>
    <m/>
    <s v="PLS"/>
    <n v="14845985"/>
    <n v="5000000"/>
    <m/>
    <m/>
  </r>
  <r>
    <x v="12"/>
    <s v="Traspaso De: Pedro Jose Lecaros Sotomayor"/>
    <x v="2"/>
    <m/>
    <s v="PLS"/>
    <n v="19845985"/>
    <n v="5000000"/>
    <m/>
    <m/>
  </r>
  <r>
    <x v="13"/>
    <s v="Traspaso A: Hernan Pizarro"/>
    <x v="1"/>
    <m/>
    <m/>
    <n v="24845985"/>
    <m/>
    <n v="-574395"/>
    <m/>
  </r>
  <r>
    <x v="14"/>
    <s v="Traspaso De: Pedro Jose Lecaros Sotomayor"/>
    <x v="2"/>
    <m/>
    <s v="PLS"/>
    <n v="24271590"/>
    <n v="5000000"/>
    <m/>
    <m/>
  </r>
  <r>
    <x v="14"/>
    <s v="Traspaso De: Servicios Psicologicos Integrales Spa"/>
    <x v="3"/>
    <m/>
    <m/>
    <n v="29271590"/>
    <n v="200000"/>
    <m/>
    <s v="Reserva A-10"/>
  </r>
  <r>
    <x v="14"/>
    <s v="Traspaso De: Cristian Andres Vera Gutierrez"/>
    <x v="3"/>
    <m/>
    <m/>
    <n v="29471590"/>
    <n v="250000"/>
    <m/>
    <s v="Parte 1 reserva A16/17/18"/>
  </r>
  <r>
    <x v="14"/>
    <s v="Traspaso De: Pedro Jose Lecaros Sotomayor"/>
    <x v="2"/>
    <m/>
    <s v="PLS"/>
    <n v="29721590"/>
    <n v="5000000"/>
    <m/>
    <m/>
  </r>
  <r>
    <x v="14"/>
    <s v="Traspaso A: Construcciones Del Ranco Spa"/>
    <x v="1"/>
    <m/>
    <m/>
    <n v="34721590"/>
    <m/>
    <n v="-3552557"/>
    <s v="Estado de pago 3"/>
  </r>
  <r>
    <x v="14"/>
    <s v="Traspaso De: Inversiones Jopa Limitada"/>
    <x v="2"/>
    <m/>
    <s v="JOPA"/>
    <n v="31169033"/>
    <n v="16000000"/>
    <m/>
    <m/>
  </r>
  <r>
    <x v="15"/>
    <s v="Traspaso De: Jose Miguel Parro Fluxa"/>
    <x v="2"/>
    <m/>
    <s v="JMP"/>
    <n v="47169033"/>
    <n v="5000000"/>
    <m/>
    <m/>
  </r>
  <r>
    <x v="15"/>
    <s v="Traspaso De: Jose Miguel Parro"/>
    <x v="2"/>
    <m/>
    <s v="JMP"/>
    <n v="52169033"/>
    <n v="5000000"/>
    <m/>
    <m/>
  </r>
  <r>
    <x v="15"/>
    <s v="Traspaso De: Cristian Andres Vera Gutierrez"/>
    <x v="3"/>
    <m/>
    <m/>
    <n v="57169033"/>
    <n v="350000"/>
    <m/>
    <s v="Parte 2 reserva A16/17/18"/>
  </r>
  <r>
    <x v="15"/>
    <s v="Traspaso De: Pedro Jose Lecaros Sotomayor"/>
    <x v="2"/>
    <m/>
    <s v="PLS"/>
    <n v="57519033"/>
    <n v="5000000"/>
    <m/>
    <m/>
  </r>
  <r>
    <x v="15"/>
    <s v="Traspaso De: Mauricio Ignacio Fuentes Rodriguez"/>
    <x v="3"/>
    <m/>
    <m/>
    <n v="62519033"/>
    <n v="200000"/>
    <m/>
    <m/>
  </r>
  <r>
    <x v="15"/>
    <s v="Traspaso A: Camila Stefany Diaz Duran"/>
    <x v="3"/>
    <m/>
    <m/>
    <n v="62719033"/>
    <m/>
    <n v="-200000"/>
    <s v="Devolucion reserva C14"/>
  </r>
  <r>
    <x v="15"/>
    <s v="Traspaso De: Jose Miguel Parro"/>
    <x v="2"/>
    <m/>
    <s v="JMP"/>
    <n v="62519033"/>
    <n v="4000000"/>
    <m/>
    <m/>
  </r>
  <r>
    <x v="15"/>
    <s v="Traspaso A: Geotim Ltda"/>
    <x v="1"/>
    <m/>
    <m/>
    <n v="66519033"/>
    <m/>
    <n v="-11061"/>
    <s v="Reembolsa envio planos Stgo"/>
  </r>
  <r>
    <x v="16"/>
    <s v="Traspaso De: Felipe Leopoldo Pardo Vasquez"/>
    <x v="3"/>
    <m/>
    <m/>
    <n v="66507972"/>
    <n v="200000"/>
    <m/>
    <s v="Reserva B-14"/>
  </r>
  <r>
    <x v="16"/>
    <s v="Cargo Por Aplicacion De Dividendo"/>
    <x v="2"/>
    <m/>
    <s v="BANCO DE CHILE"/>
    <n v="66707972"/>
    <m/>
    <n v="-59739613"/>
    <s v="Prepaga prestamo hipotecario Banco de Chile"/>
  </r>
  <r>
    <x v="16"/>
    <s v="Pago Automatico Tarjeta De Credito"/>
    <x v="1"/>
    <m/>
    <m/>
    <n v="6968359"/>
    <m/>
    <n v="-19859"/>
    <m/>
  </r>
  <r>
    <x v="17"/>
    <s v="Traspaso De: Claudio Andr?eacute?s"/>
    <x v="3"/>
    <m/>
    <m/>
    <n v="6948500"/>
    <n v="200000"/>
    <m/>
    <s v="Reserva B-12"/>
  </r>
  <r>
    <x v="18"/>
    <s v="Traspaso De: Molina Saavedra Alberto Ricardo"/>
    <x v="3"/>
    <m/>
    <m/>
    <n v="7148500"/>
    <n v="200000"/>
    <m/>
    <s v="Reserva B-8"/>
  </r>
  <r>
    <x v="18"/>
    <s v="Traspaso De: Lisssette Patricia Riquelme Martinez"/>
    <x v="3"/>
    <m/>
    <m/>
    <n v="7348500"/>
    <n v="200000"/>
    <m/>
    <s v="Reserva B-8"/>
  </r>
  <r>
    <x v="18"/>
    <s v="Traspaso De: Rodolfo Alexis Utreras"/>
    <x v="3"/>
    <s v="B9 - RODOLFO UTRERAS"/>
    <m/>
    <n v="7548500"/>
    <n v="200000"/>
    <m/>
    <s v="Reserva B-9"/>
  </r>
  <r>
    <x v="18"/>
    <s v="Traspaso A: Lissette Riquelme"/>
    <x v="3"/>
    <m/>
    <m/>
    <n v="7748500"/>
    <m/>
    <n v="-200000"/>
    <s v="Reembolso reserva B-8"/>
  </r>
  <r>
    <x v="18"/>
    <s v="Traspaso De: Mauricio Ignacio Fuentes Rodriguez"/>
    <x v="3"/>
    <m/>
    <m/>
    <n v="7548500"/>
    <n v="200000"/>
    <m/>
    <s v="Reserva C-18"/>
  </r>
  <r>
    <x v="18"/>
    <s v="Traspaso De: Edelmira Zulema Reyes Urbina"/>
    <x v="3"/>
    <m/>
    <m/>
    <n v="7748500"/>
    <n v="200000"/>
    <m/>
    <s v="Reserva B-6"/>
  </r>
  <r>
    <x v="19"/>
    <s v="Traspaso De: Lisssette Patricia Riquelme Martinez"/>
    <x v="3"/>
    <m/>
    <m/>
    <n v="7948500"/>
    <n v="200000"/>
    <m/>
    <s v="Reserva B-7"/>
  </r>
  <r>
    <x v="19"/>
    <s v="Traspaso De: San Martin Vargas Carlos Eduardo"/>
    <x v="3"/>
    <m/>
    <m/>
    <n v="8148500"/>
    <n v="200000"/>
    <m/>
    <s v="Reserva B-13"/>
  </r>
  <r>
    <x v="20"/>
    <s v="Traspaso A: Asesorias Ecox Spa"/>
    <x v="1"/>
    <m/>
    <m/>
    <n v="8348500"/>
    <m/>
    <n v="-100000"/>
    <s v="Servicio contable"/>
  </r>
  <r>
    <x v="20"/>
    <s v="Traspaso De: Hector Bernardo Maldonado Munoz"/>
    <x v="3"/>
    <m/>
    <m/>
    <n v="8248500"/>
    <n v="200000"/>
    <m/>
    <s v="Reserva B-16"/>
  </r>
  <r>
    <x v="20"/>
    <s v="Traspaso De: Lizzette Guajardo Vargas"/>
    <x v="3"/>
    <m/>
    <m/>
    <n v="8448500"/>
    <n v="200000"/>
    <m/>
    <s v="Reserva A-9"/>
  </r>
  <r>
    <x v="20"/>
    <s v="Traspaso De: Johanns Edward Agurto Rozas"/>
    <x v="3"/>
    <m/>
    <m/>
    <n v="8648500"/>
    <n v="200000"/>
    <m/>
    <s v="Reserva C-17"/>
  </r>
  <r>
    <x v="21"/>
    <s v="Traspaso A: Conrad Pablo Zlch Parra"/>
    <x v="4"/>
    <m/>
    <m/>
    <n v="8848500"/>
    <m/>
    <n v="-40000"/>
    <s v="Copia plano inscrito"/>
  </r>
  <r>
    <x v="21"/>
    <s v="Pago En Sii.cl*"/>
    <x v="5"/>
    <m/>
    <m/>
    <n v="8808500"/>
    <m/>
    <n v="-102492"/>
    <m/>
  </r>
  <r>
    <x v="22"/>
    <s v="Traspaso A: Construcciones Del Ranco Spa"/>
    <x v="1"/>
    <m/>
    <m/>
    <n v="8706008"/>
    <m/>
    <n v="-1322892"/>
    <m/>
  </r>
  <r>
    <x v="22"/>
    <s v="Traspaso A: Construcciones Del Ranco Spa"/>
    <x v="1"/>
    <m/>
    <m/>
    <n v="7383116"/>
    <m/>
    <n v="-2159683"/>
    <m/>
  </r>
  <r>
    <x v="22"/>
    <s v="Traspaso A: Construcciones Del Ranco Spa"/>
    <x v="1"/>
    <m/>
    <m/>
    <n v="5223433"/>
    <m/>
    <n v="-70545"/>
    <m/>
  </r>
  <r>
    <x v="23"/>
    <s v="Traspaso A: Benjamin Lecaros"/>
    <x v="1"/>
    <m/>
    <s v="BLS"/>
    <n v="5152888"/>
    <m/>
    <n v="-113639"/>
    <m/>
  </r>
  <r>
    <x v="24"/>
    <s v="Deposito En Efectivo N° 2941600"/>
    <x v="3"/>
    <m/>
    <m/>
    <n v="5039249"/>
    <n v="3500000"/>
    <m/>
    <s v="Promesa Katherine A-10"/>
  </r>
  <r>
    <x v="25"/>
    <s v="Comision Anual Linea De Credito Automatica"/>
    <x v="6"/>
    <m/>
    <m/>
    <n v="8539249"/>
    <m/>
    <n v="-103638"/>
    <m/>
  </r>
  <r>
    <x v="26"/>
    <s v="Traspaso De: Valentina Michelle Aranda Espinoza"/>
    <x v="3"/>
    <s v="A5 - VALENTINA ARANDA"/>
    <m/>
    <n v="8435611"/>
    <n v="200000"/>
    <m/>
    <s v="Reserva A-5"/>
  </r>
  <r>
    <x v="27"/>
    <s v="Traspaso A: La Nube Fotografia Ltda."/>
    <x v="1"/>
    <m/>
    <m/>
    <n v="8635611"/>
    <m/>
    <n v="-178500"/>
    <m/>
  </r>
  <r>
    <x v="27"/>
    <s v="Traspaso A: Geotim Ltda"/>
    <x v="1"/>
    <m/>
    <m/>
    <n v="8457111"/>
    <m/>
    <n v="-946050"/>
    <s v="instalacion alcantarill"/>
  </r>
  <r>
    <x v="28"/>
    <s v="Traspaso A: Servicios Psicologicos Integrales"/>
    <x v="3"/>
    <m/>
    <m/>
    <n v="7511061"/>
    <m/>
    <n v="-200000"/>
    <s v="Reembolso reserva A-13"/>
  </r>
  <r>
    <x v="28"/>
    <s v="Traspaso A: Benjamin Lecaros"/>
    <x v="1"/>
    <m/>
    <s v="BLS"/>
    <n v="7311061"/>
    <m/>
    <n v="-19909"/>
    <s v="Tekkrom"/>
  </r>
  <r>
    <x v="29"/>
    <s v="Dep.cheq.otros Bancos N° 4485178"/>
    <x v="2"/>
    <m/>
    <s v="FHB"/>
    <n v="7291152"/>
    <n v="42000000"/>
    <m/>
    <s v="Prestamos Felipe Hiriart"/>
  </r>
  <r>
    <x v="29"/>
    <s v="Deposito Con Cheque Mismo Banco N° 3956722"/>
    <x v="2"/>
    <m/>
    <s v="DOMI"/>
    <n v="49291152"/>
    <n v="260000000"/>
    <m/>
    <s v="Prestamos Dominique Hiriat"/>
  </r>
  <r>
    <x v="30"/>
    <s v="Traspaso De: Valentina Michelle Aranda Espinoza"/>
    <x v="3"/>
    <s v="A5 - VALENTINA ARANDA"/>
    <m/>
    <n v="309291152"/>
    <n v="4800000"/>
    <m/>
    <s v="Pie parcela A-5"/>
  </r>
  <r>
    <x v="30"/>
    <s v="Traspaso De: Miguel Jesus Torres Agreda"/>
    <x v="3"/>
    <m/>
    <m/>
    <n v="314091152"/>
    <n v="200000"/>
    <m/>
    <s v="Reserva B-5"/>
  </r>
  <r>
    <x v="30"/>
    <s v="Traspaso A: Asesorias Ecox Spa"/>
    <x v="1"/>
    <m/>
    <m/>
    <n v="314291152"/>
    <m/>
    <n v="-100000"/>
    <s v="Servicio contable"/>
  </r>
  <r>
    <x v="30"/>
    <s v="Traspaso A: Benjamin Lecaros"/>
    <x v="1"/>
    <m/>
    <s v="BLS"/>
    <n v="314191152"/>
    <m/>
    <n v="-9674"/>
    <s v="Envio chilexpress"/>
  </r>
  <r>
    <x v="31"/>
    <s v="Traspaso A: Conrad Pablo Zlch Parra"/>
    <x v="4"/>
    <m/>
    <m/>
    <n v="314181478"/>
    <m/>
    <n v="-27500"/>
    <s v="Set documentos"/>
  </r>
  <r>
    <x v="31"/>
    <s v="Traspaso De: Manuel Alejandro Jeldres Stuardo"/>
    <x v="3"/>
    <m/>
    <m/>
    <n v="314153978"/>
    <n v="200000"/>
    <m/>
    <s v="Reserva A-3"/>
  </r>
  <r>
    <x v="32"/>
    <s v="Traspaso A: Andres Rieutord"/>
    <x v="4"/>
    <m/>
    <m/>
    <n v="314353978"/>
    <m/>
    <n v="-10000"/>
    <m/>
  </r>
  <r>
    <x v="33"/>
    <s v="Cargo Por Aplicacion De Dividendo"/>
    <x v="2"/>
    <m/>
    <s v="BANCO DE CHILE"/>
    <n v="314343978"/>
    <m/>
    <n v="-300775861"/>
    <m/>
  </r>
  <r>
    <x v="33"/>
    <s v="Traspaso A: Benjamin Lecaros"/>
    <x v="1"/>
    <m/>
    <s v="BLS"/>
    <n v="13568117"/>
    <m/>
    <n v="-140949"/>
    <s v="Reembolsa gastos viaje"/>
  </r>
  <r>
    <x v="34"/>
    <s v="Pago En Sii.cl*"/>
    <x v="1"/>
    <m/>
    <m/>
    <n v="13427168"/>
    <m/>
    <n v="-7563"/>
    <m/>
  </r>
  <r>
    <x v="34"/>
    <s v="Traspaso De: Distribuidora El Turco Limitada"/>
    <x v="3"/>
    <m/>
    <m/>
    <n v="13419605"/>
    <n v="1000000"/>
    <m/>
    <s v="Reserva 5 lotes Jorge Berna"/>
  </r>
  <r>
    <x v="34"/>
    <s v="Traspaso De: Carlos Alberto Cespedes Lopez"/>
    <x v="3"/>
    <m/>
    <m/>
    <n v="14419605"/>
    <n v="6600000"/>
    <m/>
    <s v="Pago cuota 1/3"/>
  </r>
  <r>
    <x v="34"/>
    <s v="Traspaso De: Rodolfo Andres Ramirez Ortiz"/>
    <x v="3"/>
    <s v="C11 - RODOLFO RAMÍREZ"/>
    <m/>
    <n v="21019605"/>
    <n v="200000"/>
    <m/>
    <s v="Reserva lote C-11"/>
  </r>
  <r>
    <x v="34"/>
    <s v="Pago Automatico Tarjeta De Credito"/>
    <x v="1"/>
    <m/>
    <m/>
    <n v="21219605"/>
    <m/>
    <n v="-901592"/>
    <m/>
  </r>
  <r>
    <x v="35"/>
    <s v="Traspaso A: Andres Rieutord"/>
    <x v="4"/>
    <m/>
    <m/>
    <n v="20318013"/>
    <m/>
    <n v="-60000"/>
    <m/>
  </r>
  <r>
    <x v="35"/>
    <s v="Traspaso De: Miguel Jesus Torres Agreda"/>
    <x v="3"/>
    <m/>
    <m/>
    <n v="20258013"/>
    <n v="200000"/>
    <m/>
    <s v="Reserva lote B3"/>
  </r>
  <r>
    <x v="36"/>
    <s v="Recaudacion Y Pagos De Servicios *"/>
    <x v="7"/>
    <m/>
    <m/>
    <n v="20458013"/>
    <m/>
    <n v="-20000000"/>
    <m/>
  </r>
  <r>
    <x v="37"/>
    <s v="Traspaso De: Maria Paz Martinez"/>
    <x v="3"/>
    <m/>
    <m/>
    <n v="458013"/>
    <n v="200000"/>
    <m/>
    <s v="Reserva B15"/>
  </r>
  <r>
    <x v="37"/>
    <s v="Traspaso De: Pamela De Lourdes Ruiz Garces"/>
    <x v="3"/>
    <m/>
    <m/>
    <n v="658013"/>
    <n v="200000"/>
    <m/>
    <s v="Reserva C7"/>
  </r>
  <r>
    <x v="37"/>
    <s v="Traspaso De: Karen Mabel Mardones Leiva"/>
    <x v="3"/>
    <m/>
    <m/>
    <n v="858013"/>
    <n v="200000"/>
    <m/>
    <s v="Reserva B4"/>
  </r>
  <r>
    <x v="38"/>
    <s v="Traspaso De: Blanca Del Pilar Rojas Bahamondes"/>
    <x v="3"/>
    <m/>
    <m/>
    <n v="1058013"/>
    <n v="200000"/>
    <m/>
    <s v="Reserva A12"/>
  </r>
  <r>
    <x v="38"/>
    <s v="Traspaso A: Benjamin Lecaros"/>
    <x v="1"/>
    <m/>
    <s v="BLS"/>
    <n v="1258013"/>
    <m/>
    <n v="-20000"/>
    <m/>
  </r>
  <r>
    <x v="38"/>
    <s v="Traspaso A: Benjamin Lecaros"/>
    <x v="1"/>
    <m/>
    <s v="BLS"/>
    <n v="1238013"/>
    <m/>
    <n v="-9691"/>
    <m/>
  </r>
  <r>
    <x v="39"/>
    <s v="Traspaso A: Benjamin Lecaros"/>
    <x v="1"/>
    <m/>
    <s v="BLS"/>
    <n v="1228322"/>
    <m/>
    <n v="-36069"/>
    <m/>
  </r>
  <r>
    <x v="39"/>
    <s v="Traspaso A: Benjamin Lecaros"/>
    <x v="1"/>
    <m/>
    <s v="BLS"/>
    <n v="1192253"/>
    <m/>
    <n v="-9528"/>
    <m/>
  </r>
  <r>
    <x v="40"/>
    <s v="Traspaso A: Andres Rieutord"/>
    <x v="4"/>
    <m/>
    <m/>
    <n v="1182725"/>
    <m/>
    <n v="-120000"/>
    <m/>
  </r>
  <r>
    <x v="41"/>
    <s v="Traspaso A: Felipe Chavez Torres"/>
    <x v="1"/>
    <m/>
    <m/>
    <n v="1062725"/>
    <m/>
    <n v="-259074"/>
    <m/>
  </r>
  <r>
    <x v="41"/>
    <s v="Traspaso A: Felipe Chavez Torres"/>
    <x v="1"/>
    <m/>
    <m/>
    <n v="803651"/>
    <m/>
    <n v="-260000"/>
    <m/>
  </r>
  <r>
    <x v="41"/>
    <s v="Traspaso A: Andres Rieutord"/>
    <x v="4"/>
    <m/>
    <m/>
    <n v="543651"/>
    <m/>
    <n v="-50000"/>
    <m/>
  </r>
  <r>
    <x v="41"/>
    <s v="Traspaso De: Francisco Javier Flore"/>
    <x v="3"/>
    <m/>
    <m/>
    <n v="493651"/>
    <n v="200000"/>
    <m/>
    <s v="Reserva B2 Francisco"/>
  </r>
  <r>
    <x v="42"/>
    <s v="Traspaso De: Roberto Andres Traslavina Lopez"/>
    <x v="3"/>
    <m/>
    <m/>
    <n v="693651"/>
    <n v="200000"/>
    <m/>
    <s v="Reserva C-14 Roberto"/>
  </r>
  <r>
    <x v="43"/>
    <s v="Traspaso De: Cristina Adela Ochoa Adamas"/>
    <x v="3"/>
    <m/>
    <m/>
    <n v="893651"/>
    <n v="200000"/>
    <m/>
    <s v="Reserva C-1 Cristina"/>
  </r>
  <r>
    <x v="43"/>
    <s v="Pago: Inversiones 0965712208"/>
    <x v="7"/>
    <m/>
    <m/>
    <n v="1093651"/>
    <n v="5000001"/>
    <m/>
    <m/>
  </r>
  <r>
    <x v="44"/>
    <s v="Traspaso De: Cifuentes Ortiz Natalia Andrea"/>
    <x v="3"/>
    <m/>
    <m/>
    <n v="6093652"/>
    <n v="200000"/>
    <m/>
    <s v="Reserva C-12 Natalia"/>
  </r>
  <r>
    <x v="44"/>
    <s v="Traspaso A: Geotim Ltda"/>
    <x v="1"/>
    <m/>
    <m/>
    <n v="6293652"/>
    <m/>
    <n v="-5000000"/>
    <s v="Caminos"/>
  </r>
  <r>
    <x v="44"/>
    <s v="Traspaso A: Geotim Ltda"/>
    <x v="1"/>
    <m/>
    <m/>
    <n v="1293652"/>
    <m/>
    <n v="-950000"/>
    <s v="Caminos"/>
  </r>
  <r>
    <x v="44"/>
    <s v="Traspaso A: Andres Rieutord"/>
    <x v="4"/>
    <m/>
    <m/>
    <n v="343652"/>
    <m/>
    <n v="-120000"/>
    <m/>
  </r>
  <r>
    <x v="44"/>
    <s v="Traspaso A: Conrad Pablo Zlch Parra"/>
    <x v="4"/>
    <m/>
    <m/>
    <n v="223652"/>
    <m/>
    <n v="-27500"/>
    <m/>
  </r>
  <r>
    <x v="44"/>
    <s v="Traspaso A: Asesorias Ecox Spa"/>
    <x v="1"/>
    <m/>
    <m/>
    <n v="196152"/>
    <m/>
    <n v="-100000"/>
    <m/>
  </r>
  <r>
    <x v="45"/>
    <s v="Pago: Inversiones 0965712208"/>
    <x v="7"/>
    <m/>
    <m/>
    <n v="96152"/>
    <n v="6000001"/>
    <m/>
    <m/>
  </r>
  <r>
    <x v="45"/>
    <s v="Deposito En Efectivo N° 5584602"/>
    <x v="3"/>
    <s v="B9 - RODOLFO UTRERAS"/>
    <m/>
    <n v="6096153"/>
    <n v="7000000"/>
    <m/>
    <s v="Pie parcela B-9 Rodolfo"/>
  </r>
  <r>
    <x v="45"/>
    <s v="Traspaso A: Asesorias Ecox Spa"/>
    <x v="1"/>
    <m/>
    <m/>
    <n v="13096153"/>
    <m/>
    <n v="-4000000"/>
    <m/>
  </r>
  <r>
    <x v="45"/>
    <s v="Traspaso A: Geotim Ltda"/>
    <x v="1"/>
    <m/>
    <m/>
    <n v="9096153"/>
    <m/>
    <n v="-1900000"/>
    <s v="Caminos"/>
  </r>
  <r>
    <x v="45"/>
    <s v="Recaudacion Y Pagos De Servicios *"/>
    <x v="7"/>
    <m/>
    <m/>
    <n v="7196153"/>
    <m/>
    <n v="-7000000"/>
    <m/>
  </r>
  <r>
    <x v="46"/>
    <s v="Traspaso De: Lisssette Patricia Riquelme Martinez"/>
    <x v="3"/>
    <m/>
    <m/>
    <n v="196153"/>
    <n v="4800000"/>
    <m/>
    <s v="Pie parcela B7"/>
  </r>
  <r>
    <x v="47"/>
    <s v="Traspaso De: Francisca Fernanda San Martin Peralta"/>
    <x v="3"/>
    <m/>
    <m/>
    <n v="4996153"/>
    <n v="200000"/>
    <m/>
    <s v="Reserva B10"/>
  </r>
  <r>
    <x v="47"/>
    <s v="Traspaso A: Benjamin Lecaros"/>
    <x v="1"/>
    <m/>
    <s v="BLS"/>
    <n v="5196153"/>
    <m/>
    <n v="-1710000"/>
    <m/>
  </r>
  <r>
    <x v="47"/>
    <s v="Recaudacion Y Pagos De Servicios *"/>
    <x v="7"/>
    <m/>
    <m/>
    <n v="3486153"/>
    <m/>
    <n v="-3300000"/>
    <m/>
  </r>
  <r>
    <x v="47"/>
    <s v="Pago Automatico Tarjeta De Credito"/>
    <x v="1"/>
    <m/>
    <m/>
    <n v="186153"/>
    <m/>
    <n v="-1175879"/>
    <m/>
  </r>
  <r>
    <x v="47"/>
    <s v="Transferencia Desde Linea De Credito"/>
    <x v="6"/>
    <m/>
    <m/>
    <n v="-989726"/>
    <n v="989726"/>
    <m/>
    <m/>
  </r>
  <r>
    <x v="48"/>
    <s v="Traspaso De: Francisco Javier Flore"/>
    <x v="3"/>
    <m/>
    <m/>
    <n v="0"/>
    <n v="200000"/>
    <m/>
    <m/>
  </r>
  <r>
    <x v="48"/>
    <s v="Traspaso A: Andres Rieutord"/>
    <x v="4"/>
    <m/>
    <m/>
    <n v="200000"/>
    <m/>
    <n v="-50000"/>
    <m/>
  </r>
  <r>
    <x v="48"/>
    <s v="Traspaso A: Andres Rieutord"/>
    <x v="4"/>
    <m/>
    <m/>
    <n v="150000"/>
    <m/>
    <n v="-60000"/>
    <m/>
  </r>
  <r>
    <x v="48"/>
    <s v="Traspaso De: Carlos Alberto Cespedes Lopez"/>
    <x v="3"/>
    <m/>
    <m/>
    <n v="90000"/>
    <n v="6600000"/>
    <m/>
    <m/>
  </r>
  <r>
    <x v="48"/>
    <s v="Recaudacion Y Pagos De Servicios *"/>
    <x v="7"/>
    <m/>
    <m/>
    <n v="6690000"/>
    <m/>
    <n v="-4600000"/>
    <m/>
  </r>
  <r>
    <x v="48"/>
    <s v="Amortizacion A Linea De Credito"/>
    <x v="6"/>
    <m/>
    <m/>
    <n v="2090000"/>
    <m/>
    <n v="-989726"/>
    <m/>
  </r>
  <r>
    <x v="49"/>
    <s v="Pago En Tesoreria.cl*"/>
    <x v="5"/>
    <m/>
    <m/>
    <n v="1100274"/>
    <m/>
    <n v="-351268"/>
    <s v="Contribuciones cuota 1"/>
  </r>
  <r>
    <x v="50"/>
    <s v="Pago En Sii.cl*"/>
    <x v="5"/>
    <m/>
    <m/>
    <n v="749006"/>
    <m/>
    <n v="-439844"/>
    <m/>
  </r>
  <r>
    <x v="51"/>
    <s v="Traspaso De: Maritza Marcela Leiva Vera"/>
    <x v="3"/>
    <m/>
    <m/>
    <n v="309162"/>
    <n v="200000"/>
    <m/>
    <m/>
  </r>
  <r>
    <x v="51"/>
    <s v="Abono Por Reversa De Dividendo"/>
    <x v="2"/>
    <m/>
    <s v="BANCO DE CHILE"/>
    <n v="509162"/>
    <n v="17570170"/>
    <m/>
    <m/>
  </r>
  <r>
    <x v="52"/>
    <s v="Recaudacion Y Pagos De Servicios *"/>
    <x v="7"/>
    <m/>
    <m/>
    <n v="18079332"/>
    <m/>
    <n v="-16000000"/>
    <m/>
  </r>
  <r>
    <x v="53"/>
    <s v="Traspaso A: Geotim Ltda"/>
    <x v="1"/>
    <m/>
    <m/>
    <n v="2079332"/>
    <m/>
    <n v="-1309000"/>
    <s v="ADELANTO REPLANTEO"/>
  </r>
  <r>
    <x v="53"/>
    <s v="Traspaso De: Cecilia Adelaida Villagra Villagra"/>
    <x v="3"/>
    <m/>
    <m/>
    <n v="770332"/>
    <n v="200000"/>
    <m/>
    <s v="Reserva C10"/>
  </r>
  <r>
    <x v="54"/>
    <s v="Traspaso De: Juan Esteban Sanchez Bascur"/>
    <x v="3"/>
    <m/>
    <m/>
    <n v="970332"/>
    <n v="200000"/>
    <m/>
    <s v="Reserva C9"/>
  </r>
  <r>
    <x v="55"/>
    <s v="Traspaso A: Conrad Pablo Zlch Parra"/>
    <x v="4"/>
    <m/>
    <m/>
    <n v="1170332"/>
    <m/>
    <n v="-177500"/>
    <m/>
  </r>
  <r>
    <x v="56"/>
    <s v="Traspaso A: Andres Rieutord"/>
    <x v="4"/>
    <m/>
    <m/>
    <n v="992832"/>
    <m/>
    <n v="-90000"/>
    <m/>
  </r>
  <r>
    <x v="56"/>
    <s v="Traspaso A: Conrad Pablo Zlch Parra"/>
    <x v="4"/>
    <m/>
    <m/>
    <n v="902832"/>
    <m/>
    <n v="-35500"/>
    <m/>
  </r>
  <r>
    <x v="57"/>
    <s v="Deposito En Efectivo N° 8860669"/>
    <x v="3"/>
    <m/>
    <m/>
    <n v="867332"/>
    <n v="19800000"/>
    <m/>
    <s v="B12 claudio Quezada"/>
  </r>
  <r>
    <x v="57"/>
    <s v="Dep.cheq.otros Bancos N° 4543970"/>
    <x v="3"/>
    <m/>
    <m/>
    <n v="20667332"/>
    <n v="84200000"/>
    <m/>
    <s v="B6, B16, A15, A9"/>
  </r>
  <r>
    <x v="58"/>
    <s v="Traspaso De: Manzano Ruiz Cristian Osvaldo"/>
    <x v="3"/>
    <m/>
    <m/>
    <n v="104867332"/>
    <n v="200000"/>
    <m/>
    <s v="Reserva parcela C8"/>
  </r>
  <r>
    <x v="58"/>
    <s v="Dep.cheq.otros Bancos N° 4543994"/>
    <x v="3"/>
    <m/>
    <m/>
    <n v="105067332"/>
    <n v="19800000"/>
    <m/>
    <s v="B13 Carlos San Martin"/>
  </r>
  <r>
    <x v="59"/>
    <s v="Traspaso A: Benjamin Lecaros"/>
    <x v="1"/>
    <m/>
    <s v="BLS"/>
    <n v="124867332"/>
    <m/>
    <n v="-3420000"/>
    <s v="Asesoria venta A9 B12 B13 B16"/>
  </r>
  <r>
    <x v="59"/>
    <s v="Traspaso De: Valentina Michelle Aranda Espinoza"/>
    <x v="3"/>
    <s v="A5 - VALENTINA ARANDA"/>
    <m/>
    <n v="121447332"/>
    <n v="1125465"/>
    <m/>
    <s v="Cuota 1/24"/>
  </r>
  <r>
    <x v="59"/>
    <s v="Pago: Inversiones 0965712208"/>
    <x v="7"/>
    <m/>
    <m/>
    <n v="122572797"/>
    <n v="40028395"/>
    <m/>
    <m/>
  </r>
  <r>
    <x v="59"/>
    <s v="Traspaso A: Dominique Hiriart"/>
    <x v="2"/>
    <m/>
    <s v="DOMI"/>
    <n v="162601192"/>
    <m/>
    <n v="-5000000"/>
    <m/>
  </r>
  <r>
    <x v="59"/>
    <s v="Traspaso A: Dominique Hiriart"/>
    <x v="2"/>
    <m/>
    <s v="DOMI"/>
    <n v="157601192"/>
    <m/>
    <n v="-5000000"/>
    <m/>
  </r>
  <r>
    <x v="59"/>
    <s v="Traspaso A: Dominique Hiriart"/>
    <x v="2"/>
    <m/>
    <s v="DOMI"/>
    <n v="152601192"/>
    <m/>
    <n v="-5000000"/>
    <m/>
  </r>
  <r>
    <x v="59"/>
    <s v="Traspaso A: Dominique Hiriart"/>
    <x v="2"/>
    <m/>
    <s v="DOMI"/>
    <n v="147601192"/>
    <m/>
    <n v="-5000000"/>
    <m/>
  </r>
  <r>
    <x v="59"/>
    <s v="Traspaso A: Dominique Hiriart"/>
    <x v="2"/>
    <m/>
    <s v="DOMI"/>
    <n v="142601192"/>
    <m/>
    <n v="-5000000"/>
    <m/>
  </r>
  <r>
    <x v="59"/>
    <s v="Traspaso A: Dominique Hiriart"/>
    <x v="2"/>
    <m/>
    <s v="DOMI"/>
    <n v="137601192"/>
    <m/>
    <n v="-5000000"/>
    <m/>
  </r>
  <r>
    <x v="59"/>
    <s v="Traspaso A: Dominique Hiriart"/>
    <x v="2"/>
    <m/>
    <s v="DOMI"/>
    <n v="132601192"/>
    <m/>
    <n v="-5000000"/>
    <m/>
  </r>
  <r>
    <x v="59"/>
    <s v="Traspaso A: Dominique Hiriart"/>
    <x v="2"/>
    <m/>
    <s v="DOMI"/>
    <n v="127601192"/>
    <m/>
    <n v="-5000000"/>
    <m/>
  </r>
  <r>
    <x v="59"/>
    <s v="Traspaso A: Dominique Hiriart"/>
    <x v="2"/>
    <m/>
    <s v="DOMI"/>
    <n v="122601192"/>
    <m/>
    <n v="-5000000"/>
    <m/>
  </r>
  <r>
    <x v="59"/>
    <s v="Traspaso A: Dominique Hiriart"/>
    <x v="2"/>
    <m/>
    <s v="DOMI"/>
    <n v="117601192"/>
    <m/>
    <n v="-5000000"/>
    <m/>
  </r>
  <r>
    <x v="59"/>
    <s v="Traspaso A: Dominique Hiriart"/>
    <x v="2"/>
    <m/>
    <s v="DOMI"/>
    <n v="112601192"/>
    <m/>
    <n v="-5000000"/>
    <m/>
  </r>
  <r>
    <x v="59"/>
    <s v="Traspaso A: Dominique Hiriart"/>
    <x v="2"/>
    <m/>
    <s v="DOMI"/>
    <n v="107601192"/>
    <m/>
    <n v="-5000000"/>
    <m/>
  </r>
  <r>
    <x v="59"/>
    <s v="Traspaso A: Dominique Hiriart"/>
    <x v="2"/>
    <m/>
    <s v="DOMI"/>
    <n v="102601192"/>
    <m/>
    <n v="-5000000"/>
    <m/>
  </r>
  <r>
    <x v="59"/>
    <s v="Traspaso A: Dominique Hiriart"/>
    <x v="2"/>
    <m/>
    <s v="DOMI"/>
    <n v="97601192"/>
    <m/>
    <n v="-5000000"/>
    <m/>
  </r>
  <r>
    <x v="59"/>
    <s v="Traspaso A: Dominique Hiriart"/>
    <x v="2"/>
    <m/>
    <s v="DOMI"/>
    <n v="92601192"/>
    <m/>
    <n v="-5000000"/>
    <m/>
  </r>
  <r>
    <x v="59"/>
    <s v="Traspaso A: Dominique Hiriart"/>
    <x v="2"/>
    <m/>
    <s v="DOMI"/>
    <n v="87601192"/>
    <m/>
    <n v="-5000000"/>
    <m/>
  </r>
  <r>
    <x v="59"/>
    <s v="Traspaso A: Dominique Hiriart"/>
    <x v="2"/>
    <m/>
    <s v="DOMI"/>
    <n v="82601192"/>
    <m/>
    <n v="-5000000"/>
    <m/>
  </r>
  <r>
    <x v="59"/>
    <s v="Traspaso A: Dominique Hiriart"/>
    <x v="2"/>
    <m/>
    <s v="DOMI"/>
    <n v="77601192"/>
    <m/>
    <n v="-5000000"/>
    <m/>
  </r>
  <r>
    <x v="59"/>
    <s v="Traspaso A: Dominique Hiriart"/>
    <x v="2"/>
    <m/>
    <s v="DOMI"/>
    <n v="72601192"/>
    <m/>
    <n v="-5000000"/>
    <m/>
  </r>
  <r>
    <x v="59"/>
    <s v="Traspaso A: Dominique Hiriart"/>
    <x v="2"/>
    <m/>
    <s v="DOMI"/>
    <n v="67601192"/>
    <m/>
    <n v="-5000000"/>
    <m/>
  </r>
  <r>
    <x v="59"/>
    <s v="Traspaso A: Dominique Hiriart"/>
    <x v="2"/>
    <m/>
    <s v="DOMI"/>
    <n v="62601192"/>
    <m/>
    <n v="-5000000"/>
    <m/>
  </r>
  <r>
    <x v="59"/>
    <s v="Traspaso A: Dominique Hiriart"/>
    <x v="2"/>
    <m/>
    <s v="DOMI"/>
    <n v="57601192"/>
    <m/>
    <n v="-5000000"/>
    <m/>
  </r>
  <r>
    <x v="59"/>
    <s v="Traspaso A: Dominique Hiriart"/>
    <x v="2"/>
    <m/>
    <s v="DOMI"/>
    <n v="52601192"/>
    <m/>
    <n v="-5000000"/>
    <m/>
  </r>
  <r>
    <x v="59"/>
    <s v="Traspaso A: Dominique Hiriart"/>
    <x v="2"/>
    <m/>
    <s v="DOMI"/>
    <n v="47601192"/>
    <m/>
    <n v="-5000000"/>
    <m/>
  </r>
  <r>
    <x v="59"/>
    <s v="Traspaso A: Dominique Hiriart"/>
    <x v="2"/>
    <m/>
    <s v="DOMI"/>
    <n v="42601192"/>
    <m/>
    <n v="-5000000"/>
    <m/>
  </r>
  <r>
    <x v="59"/>
    <s v="Traspaso A: Dominique Hiriart"/>
    <x v="2"/>
    <m/>
    <s v="DOMI"/>
    <n v="37601192"/>
    <m/>
    <n v="-5000000"/>
    <m/>
  </r>
  <r>
    <x v="59"/>
    <s v="Traspaso A: Dominique Hiriart"/>
    <x v="2"/>
    <m/>
    <s v="DOMI"/>
    <n v="32601192"/>
    <m/>
    <n v="-5000000"/>
    <m/>
  </r>
  <r>
    <x v="59"/>
    <s v="Traspaso A: Dominique Hiriart"/>
    <x v="2"/>
    <m/>
    <s v="DOMI"/>
    <n v="27601192"/>
    <m/>
    <n v="-5000000"/>
    <m/>
  </r>
  <r>
    <x v="59"/>
    <s v="Traspaso A: Dominique Hiriart"/>
    <x v="2"/>
    <m/>
    <s v="DOMI"/>
    <n v="22601192"/>
    <m/>
    <n v="-5000000"/>
    <m/>
  </r>
  <r>
    <x v="59"/>
    <s v="Traspaso A: Dominique Hiriart"/>
    <x v="2"/>
    <m/>
    <s v="DOMI"/>
    <n v="17601192"/>
    <m/>
    <n v="-5000000"/>
    <m/>
  </r>
  <r>
    <x v="60"/>
    <s v="Traspaso A: Carlos Ciuffardi"/>
    <x v="1"/>
    <m/>
    <m/>
    <n v="12601192"/>
    <m/>
    <n v="-1068750"/>
    <s v="Comision venta A15"/>
  </r>
  <r>
    <x v="60"/>
    <s v="Traspaso A: La Nube Fotografia Ltda."/>
    <x v="1"/>
    <m/>
    <m/>
    <n v="11532442"/>
    <m/>
    <n v="-178500"/>
    <s v="actualizacion nube"/>
  </r>
  <r>
    <x v="60"/>
    <s v="Traspaso De: Rodolfo Alexis Utreras"/>
    <x v="3"/>
    <s v="B9 - RODOLFO UTRERAS"/>
    <m/>
    <n v="11353942"/>
    <n v="175000"/>
    <m/>
    <s v="Cuota 1/48"/>
  </r>
  <r>
    <x v="61"/>
    <s v="Traspaso A: Geotim Ltda"/>
    <x v="1"/>
    <m/>
    <m/>
    <n v="11528942"/>
    <m/>
    <n v="-800000"/>
    <s v="Comision venta B6"/>
  </r>
  <r>
    <x v="61"/>
    <s v="Traspaso A: Asesorias Ecox Spa"/>
    <x v="1"/>
    <m/>
    <m/>
    <n v="10728942"/>
    <m/>
    <n v="-4000000"/>
    <m/>
  </r>
  <r>
    <x v="61"/>
    <s v="Traspaso A: Asesorias Ecox Spa"/>
    <x v="1"/>
    <m/>
    <m/>
    <n v="6728942"/>
    <m/>
    <n v="-100000"/>
    <s v="Servicio contable"/>
  </r>
  <r>
    <x v="61"/>
    <s v="Impuesto Linea De Credito"/>
    <x v="6"/>
    <m/>
    <m/>
    <n v="6628942"/>
    <m/>
    <n v="-653"/>
    <m/>
  </r>
  <r>
    <x v="61"/>
    <s v="Intereses Linea De Credito"/>
    <x v="6"/>
    <m/>
    <m/>
    <n v="6628289"/>
    <m/>
    <n v="-473"/>
    <m/>
  </r>
  <r>
    <x v="62"/>
    <s v="Traspaso A: Benjamin Lecaros"/>
    <x v="1"/>
    <m/>
    <s v="BLS"/>
    <n v="6627816"/>
    <m/>
    <n v="-2565000"/>
    <s v="Asesoria venta A5 A10 C15"/>
  </r>
  <r>
    <x v="62"/>
    <s v="Traspaso A: Hector Varela"/>
    <x v="1"/>
    <m/>
    <m/>
    <n v="4062816"/>
    <m/>
    <n v="-141152"/>
    <s v="Reembolsa gastos bencina"/>
  </r>
  <r>
    <x v="63"/>
    <s v="Traspaso A: Conrad Pablo Zlch Parra"/>
    <x v="4"/>
    <m/>
    <m/>
    <n v="3921664"/>
    <m/>
    <n v="-155500"/>
    <m/>
  </r>
  <r>
    <x v="64"/>
    <s v="Traspaso A: Andres Rieutord"/>
    <x v="4"/>
    <m/>
    <m/>
    <n v="3766164"/>
    <m/>
    <n v="-60000"/>
    <m/>
  </r>
  <r>
    <x v="64"/>
    <s v="Traspaso A: Pamela Ruiz"/>
    <x v="3"/>
    <m/>
    <m/>
    <n v="3706164"/>
    <m/>
    <n v="-200000"/>
    <s v="Reembolso reserva C7"/>
  </r>
  <r>
    <x v="64"/>
    <s v="Pago Automatico Tarjeta De Credito"/>
    <x v="1"/>
    <m/>
    <m/>
    <n v="3506164"/>
    <m/>
    <n v="-1334208"/>
    <m/>
  </r>
  <r>
    <x v="65"/>
    <s v="Traspaso De: Carlos Alberto Cespedes Lopez"/>
    <x v="3"/>
    <m/>
    <m/>
    <n v="2171956"/>
    <n v="6600000"/>
    <m/>
    <m/>
  </r>
  <r>
    <x v="66"/>
    <s v="Recaudacion Y Pagos De Servicios *"/>
    <x v="7"/>
    <m/>
    <m/>
    <n v="8771956"/>
    <m/>
    <n v="-7500000"/>
    <m/>
  </r>
  <r>
    <x v="66"/>
    <s v="Traspaso A: Jorge Ignacio Troncoso Vidal"/>
    <x v="1"/>
    <m/>
    <m/>
    <n v="1271956"/>
    <m/>
    <n v="-50000"/>
    <s v="Firma en valdivia"/>
  </r>
  <r>
    <x v="67"/>
    <s v="Pago En Sii.cl*"/>
    <x v="5"/>
    <m/>
    <m/>
    <n v="1221956"/>
    <m/>
    <n v="-1232157"/>
    <m/>
  </r>
  <r>
    <x v="67"/>
    <s v="Transferencia Desde Linea De Credito"/>
    <x v="6"/>
    <m/>
    <m/>
    <n v="-10201"/>
    <n v="10201"/>
    <m/>
    <m/>
  </r>
  <r>
    <x v="68"/>
    <s v="Traspaso De: Molina Saavedra Alberto Ricardo"/>
    <x v="3"/>
    <m/>
    <m/>
    <n v="0"/>
    <n v="200000"/>
    <m/>
    <s v="Reserva B-11"/>
  </r>
  <r>
    <x v="68"/>
    <s v="Pago Linea De Cred: 018870277108"/>
    <x v="6"/>
    <m/>
    <m/>
    <n v="200000"/>
    <m/>
    <n v="-10201"/>
    <m/>
  </r>
  <r>
    <x v="68"/>
    <s v="Traspaso A: Jorge Ignacio Troncoso Vidal"/>
    <x v="1"/>
    <m/>
    <m/>
    <n v="189799"/>
    <m/>
    <n v="-50000"/>
    <s v="Firma en valdivia"/>
  </r>
  <r>
    <x v="69"/>
    <s v="Traspaso De: Ximena Paz Ormazabal Canelo"/>
    <x v="3"/>
    <m/>
    <m/>
    <n v="139799"/>
    <n v="200000"/>
    <m/>
    <s v="Reserva C-14"/>
  </r>
  <r>
    <x v="70"/>
    <s v="Traspaso A: Rodrigo Rojas Castillo"/>
    <x v="4"/>
    <m/>
    <m/>
    <n v="339799"/>
    <m/>
    <n v="-133500"/>
    <s v="notaria San pedro de la paz"/>
  </r>
  <r>
    <x v="70"/>
    <s v="Traspaso De: Distribuidora El Turco Limitada"/>
    <x v="3"/>
    <m/>
    <m/>
    <n v="206299"/>
    <n v="7000000"/>
    <m/>
    <s v="Pago 1 de 4 Pie 4 lotes"/>
  </r>
  <r>
    <x v="70"/>
    <s v="Traspaso De: Distribuidora El Turco Limitada"/>
    <x v="3"/>
    <m/>
    <m/>
    <n v="7206299"/>
    <n v="3000000"/>
    <m/>
    <s v="Pago 2 de 4 Pie 4 lotes"/>
  </r>
  <r>
    <x v="70"/>
    <s v="Traspaso A: Jorge Ignacio Troncoso Vidal"/>
    <x v="1"/>
    <m/>
    <m/>
    <n v="10206299"/>
    <m/>
    <n v="-50000"/>
    <s v="Firma en Osorno"/>
  </r>
  <r>
    <x v="70"/>
    <s v="Traspaso A: Jorge Ignacio Troncoso Vidal"/>
    <x v="1"/>
    <m/>
    <m/>
    <n v="10156299"/>
    <m/>
    <n v="-47000"/>
    <s v="Reembolsa gastos a Osorno"/>
  </r>
  <r>
    <x v="71"/>
    <s v="Traspaso De: Miguel Bernales Bernales"/>
    <x v="3"/>
    <m/>
    <m/>
    <n v="10109299"/>
    <n v="200000"/>
    <m/>
    <s v="Reserva C-1"/>
  </r>
  <r>
    <x v="72"/>
    <s v="Traspaso De: Evelyn Paola Galarce Gonzalez"/>
    <x v="3"/>
    <m/>
    <m/>
    <n v="10309299"/>
    <n v="200000"/>
    <m/>
    <s v="Reserva C-4"/>
  </r>
  <r>
    <x v="72"/>
    <s v="Recaudacion Y Pagos De Servicios *"/>
    <x v="7"/>
    <m/>
    <m/>
    <n v="10509299"/>
    <m/>
    <n v="-10000000"/>
    <m/>
  </r>
  <r>
    <x v="72"/>
    <s v="Traspaso De: Rodolfo Andres Ramirez Ortiz"/>
    <x v="3"/>
    <s v="C11 - RODOLFO RAMÍREZ"/>
    <m/>
    <n v="509299"/>
    <n v="4800000"/>
    <m/>
    <s v="Pie parcela C-11"/>
  </r>
  <r>
    <x v="73"/>
    <s v="Traspaso A: Felipe Hiriart"/>
    <x v="1"/>
    <m/>
    <m/>
    <n v="5309299"/>
    <m/>
    <n v="-149376"/>
    <s v="Rendición pasaje Lan a Osorno"/>
  </r>
  <r>
    <x v="73"/>
    <s v="Traspaso A: Felipe Hiriart"/>
    <x v="1"/>
    <m/>
    <m/>
    <n v="5159923"/>
    <m/>
    <n v="-133816"/>
    <s v="Rendición pasaje Lan a Stgo"/>
  </r>
  <r>
    <x v="73"/>
    <s v="Traspaso A: Felipe Hiriart"/>
    <x v="1"/>
    <m/>
    <m/>
    <n v="5026107"/>
    <m/>
    <n v="-152656"/>
    <s v="Arriendo auto Osorno"/>
  </r>
  <r>
    <x v="74"/>
    <s v="Traspaso De: Miguel Angel Cortes Grego"/>
    <x v="3"/>
    <m/>
    <m/>
    <n v="4873451"/>
    <n v="200000"/>
    <m/>
    <s v="Reserva C-13"/>
  </r>
  <r>
    <x v="74"/>
    <s v="Traspaso De: Bernales Vergara Miguel Eduardo"/>
    <x v="3"/>
    <m/>
    <m/>
    <n v="5073451"/>
    <n v="21800000"/>
    <m/>
    <s v="Pago parcela C-1"/>
  </r>
  <r>
    <x v="75"/>
    <s v="Recaudacion Y Pagos De Servicios *"/>
    <x v="7"/>
    <m/>
    <m/>
    <n v="26873451"/>
    <m/>
    <n v="-25000000"/>
    <m/>
  </r>
  <r>
    <x v="75"/>
    <s v="Traspaso De: Moncada Sandoval Pedro Simon"/>
    <x v="3"/>
    <m/>
    <m/>
    <n v="1873451"/>
    <n v="300000"/>
    <m/>
    <s v="Pie parcela C8"/>
  </r>
  <r>
    <x v="76"/>
    <s v="Traspaso A: Brayans Stegmayer"/>
    <x v="1"/>
    <m/>
    <m/>
    <n v="2173451"/>
    <m/>
    <n v="-500000"/>
    <m/>
  </r>
  <r>
    <x v="76"/>
    <s v="Traspaso A: Felipe Hiriart"/>
    <x v="1"/>
    <m/>
    <m/>
    <n v="1673451"/>
    <m/>
    <n v="-590166"/>
    <s v="gastos viaje"/>
  </r>
  <r>
    <x v="76"/>
    <s v="Traspaso A: Pedro Lecaros"/>
    <x v="1"/>
    <m/>
    <m/>
    <n v="1083285"/>
    <m/>
    <n v="-50990"/>
    <s v="viaje"/>
  </r>
  <r>
    <x v="76"/>
    <s v="Traspaso De: Moncada Sandoval Pedro Simon"/>
    <x v="3"/>
    <m/>
    <m/>
    <n v="1032295"/>
    <n v="4500000"/>
    <m/>
    <s v="Pie parcela C8"/>
  </r>
  <r>
    <x v="77"/>
    <s v="Traspaso A: Carlos Ciuffardi"/>
    <x v="1"/>
    <m/>
    <m/>
    <n v="5532295"/>
    <m/>
    <n v="-940500"/>
    <s v="Comision B-5"/>
  </r>
  <r>
    <x v="78"/>
    <s v="Traspaso A: Jorge Ignacio Troncoso Vidal"/>
    <x v="1"/>
    <m/>
    <m/>
    <n v="4591795"/>
    <m/>
    <n v="-50000"/>
    <s v="Firma en Valdivia"/>
  </r>
  <r>
    <x v="78"/>
    <s v="Traspaso De: Rodolfo Andres Ramirez Ortiz"/>
    <x v="1"/>
    <s v="C11 - RODOLFO RAMÍREZ"/>
    <m/>
    <n v="4541795"/>
    <n v="313500"/>
    <m/>
    <s v="Transfiere para pago CBR"/>
  </r>
  <r>
    <x v="78"/>
    <s v="Traspaso De: Rodolfo Andres Ramirez Ortiz"/>
    <x v="1"/>
    <s v="C11 - RODOLFO RAMÍREZ"/>
    <m/>
    <n v="4855295"/>
    <n v="1000"/>
    <m/>
    <m/>
  </r>
  <r>
    <x v="78"/>
    <s v="Traspaso A: Felipe Hiriart"/>
    <x v="1"/>
    <m/>
    <m/>
    <n v="4856295"/>
    <m/>
    <n v="-499026"/>
    <s v="Rendicion 3 viaje a Osorno 29 mayo 25"/>
  </r>
  <r>
    <x v="78"/>
    <s v="Traspaso A: Conrad Pablo Zlch Parra"/>
    <x v="1"/>
    <m/>
    <m/>
    <n v="4357269"/>
    <m/>
    <n v="-313500"/>
    <s v="Pago inscripcion lote C11"/>
  </r>
  <r>
    <x v="78"/>
    <s v="Dep.cheq.otros Bancos N° 3456941"/>
    <x v="3"/>
    <m/>
    <m/>
    <n v="4043769"/>
    <n v="21300000"/>
    <m/>
    <s v="B5"/>
  </r>
  <r>
    <x v="79"/>
    <s v="Traspaso De: Maria Salome Ramos"/>
    <x v="3"/>
    <m/>
    <m/>
    <n v="25343769"/>
    <n v="200000"/>
    <m/>
    <s v="Reserva C7"/>
  </r>
  <r>
    <x v="79"/>
    <s v="Traspaso De: Valentina Michelle Aranda Espinoza"/>
    <x v="3"/>
    <s v="A5 - VALENTINA ARANDA"/>
    <m/>
    <n v="25543769"/>
    <n v="1125465"/>
    <m/>
    <s v="Cuota 2/24"/>
  </r>
  <r>
    <x v="79"/>
    <s v="Traspaso A: Asesorias Ecox Spa"/>
    <x v="1"/>
    <m/>
    <m/>
    <n v="26669234"/>
    <m/>
    <n v="-100000"/>
    <s v="Servicio contable"/>
  </r>
  <r>
    <x v="79"/>
    <s v="Traspaso A: Asesorias Ecox Spa"/>
    <x v="1"/>
    <m/>
    <m/>
    <n v="26569234"/>
    <m/>
    <n v="-4000000"/>
    <m/>
  </r>
  <r>
    <x v="80"/>
    <s v="Traspaso De: Molina Saavedra Alberto Ricardo"/>
    <x v="3"/>
    <m/>
    <m/>
    <n v="22569234"/>
    <n v="4500000"/>
    <m/>
    <s v="Pago 1 de 5 parcela B11"/>
  </r>
  <r>
    <x v="80"/>
    <s v="Traspaso A: Sindy Danaee Sandoval Vega"/>
    <x v="1"/>
    <m/>
    <m/>
    <n v="27069234"/>
    <m/>
    <n v="-752400"/>
    <s v="Comision venta C1"/>
  </r>
  <r>
    <x v="80"/>
    <s v="Traspaso A: Geotim Ltda"/>
    <x v="1"/>
    <m/>
    <m/>
    <n v="26316834"/>
    <m/>
    <n v="-3234800"/>
    <s v="Caminos"/>
  </r>
  <r>
    <x v="80"/>
    <s v="Traspaso A: Geotim Ltda"/>
    <x v="1"/>
    <m/>
    <m/>
    <n v="23082034"/>
    <m/>
    <n v="-1406580"/>
    <s v="Estacas replanteo"/>
  </r>
  <r>
    <x v="80"/>
    <s v="Traspaso A: Geotim Ltda"/>
    <x v="1"/>
    <m/>
    <m/>
    <n v="21675454"/>
    <m/>
    <n v="-5000000"/>
    <s v="Caminos"/>
  </r>
  <r>
    <x v="80"/>
    <s v="Traspaso A: Brayans Stegmayer"/>
    <x v="1"/>
    <m/>
    <m/>
    <n v="16675454"/>
    <m/>
    <n v="-500000"/>
    <m/>
  </r>
  <r>
    <x v="80"/>
    <s v="Traspaso De: Molina Saavedra Alberto Ricardo"/>
    <x v="3"/>
    <m/>
    <m/>
    <n v="16175454"/>
    <n v="4500000"/>
    <m/>
    <s v="Pago 2 de 5 parcela B11"/>
  </r>
  <r>
    <x v="80"/>
    <s v="Traspaso A: Carlos Ciuffardi"/>
    <x v="1"/>
    <m/>
    <m/>
    <n v="20675454"/>
    <m/>
    <n v="-919125"/>
    <s v="Comision A3"/>
  </r>
  <r>
    <x v="80"/>
    <s v="Traspaso A: Benjamin Lecaros"/>
    <x v="1"/>
    <m/>
    <s v="BLS"/>
    <n v="19756329"/>
    <m/>
    <n v="-855000"/>
    <m/>
  </r>
  <r>
    <x v="80"/>
    <s v="Impuesto Linea De Credito"/>
    <x v="6"/>
    <m/>
    <m/>
    <n v="18901329"/>
    <m/>
    <n v="-7"/>
    <m/>
  </r>
  <r>
    <x v="80"/>
    <s v="Intereses Linea De Credito"/>
    <x v="6"/>
    <m/>
    <m/>
    <n v="18901322"/>
    <m/>
    <n v="-5"/>
    <m/>
  </r>
  <r>
    <x v="81"/>
    <s v="Traspaso A: Hector Varela"/>
    <x v="1"/>
    <m/>
    <m/>
    <n v="18901317"/>
    <m/>
    <n v="-216140"/>
    <s v="Reembolsa gastos"/>
  </r>
  <r>
    <x v="81"/>
    <s v="Recaudacion Y Pagos De Servicios *"/>
    <x v="7"/>
    <m/>
    <m/>
    <n v="18685177"/>
    <m/>
    <n v="-18000000"/>
    <m/>
  </r>
  <r>
    <x v="81"/>
    <s v="Traspaso De: Rodolfo Alexis Utreras"/>
    <x v="3"/>
    <s v="B9 - RODOLFO UTRERAS"/>
    <m/>
    <n v="685177"/>
    <n v="375000"/>
    <m/>
    <s v="Cuota 2/48"/>
  </r>
  <r>
    <x v="81"/>
    <s v="Deposito En Efectivo N° 8024900"/>
    <x v="3"/>
    <m/>
    <m/>
    <n v="1060177"/>
    <n v="20000000"/>
    <m/>
    <s v="B15"/>
  </r>
  <r>
    <x v="81"/>
    <s v="Traspaso A: Maria Martinez"/>
    <x v="3"/>
    <m/>
    <m/>
    <n v="21060177"/>
    <m/>
    <n v="-44500"/>
    <s v="Reembolsa saldo a favor parcela B-15"/>
  </r>
  <r>
    <x v="81"/>
    <s v="Dep.cheq.otros Bancos N° 8024899"/>
    <x v="3"/>
    <m/>
    <m/>
    <n v="21015677"/>
    <n v="41100000"/>
    <m/>
    <s v="B3 y B14"/>
  </r>
  <r>
    <x v="81"/>
    <s v="Dep.cheq.otros Bancos N° 6576926"/>
    <x v="3"/>
    <m/>
    <m/>
    <n v="62115677"/>
    <n v="21800000"/>
    <m/>
    <s v="A3"/>
  </r>
  <r>
    <x v="82"/>
    <s v="Traspaso A: Denis Marcelo Bustos Fuentealba"/>
    <x v="1"/>
    <m/>
    <m/>
    <n v="83915677"/>
    <m/>
    <n v="-75000"/>
    <s v="Firma Temuco"/>
  </r>
  <r>
    <x v="82"/>
    <s v="Traspaso De: Molina Saavedra Alberto Ricardo"/>
    <x v="3"/>
    <m/>
    <m/>
    <n v="83840677"/>
    <n v="4500000"/>
    <m/>
    <s v="Pago 3 de 5 parcela B11"/>
  </r>
  <r>
    <x v="82"/>
    <s v="Pago: Inversiones 0965712208"/>
    <x v="7"/>
    <m/>
    <m/>
    <n v="88340677"/>
    <n v="18000000"/>
    <m/>
    <m/>
  </r>
  <r>
    <x v="82"/>
    <s v="Pago: Inversiones 0965712208"/>
    <x v="7"/>
    <m/>
    <m/>
    <n v="106340677"/>
    <n v="23000001"/>
    <m/>
    <m/>
  </r>
  <r>
    <x v="82"/>
    <s v="Traspaso De: Cifuentes Ortiz Natalia Andrea"/>
    <x v="1"/>
    <m/>
    <m/>
    <n v="129340678"/>
    <n v="155500"/>
    <m/>
    <s v="Deposita para pagar a CBR Paillaco"/>
  </r>
  <r>
    <x v="83"/>
    <s v="Traspaso De: Molina Saavedra Alberto Ricardo"/>
    <x v="3"/>
    <m/>
    <m/>
    <n v="129496178"/>
    <n v="4500000"/>
    <m/>
    <m/>
  </r>
  <r>
    <x v="83"/>
    <s v="Traspaso A: Maria Paz Amenabar"/>
    <x v="1"/>
    <m/>
    <m/>
    <n v="133996178"/>
    <m/>
    <n v="-200000"/>
    <m/>
  </r>
  <r>
    <x v="83"/>
    <s v="Traspaso A: Conrad Pablo Zlch Parra"/>
    <x v="1"/>
    <m/>
    <m/>
    <n v="133796178"/>
    <m/>
    <n v="-155500"/>
    <s v="Pago inscripcion lote C12"/>
  </r>
  <r>
    <x v="83"/>
    <s v="Traspaso A: Andres Rieutord"/>
    <x v="3"/>
    <m/>
    <m/>
    <n v="133640678"/>
    <m/>
    <n v="-160000"/>
    <s v="Usa monto de saldo a favor de parcela C-13 para pago notaría"/>
  </r>
  <r>
    <x v="83"/>
    <s v="Traspaso A: Miguel Cortes"/>
    <x v="3"/>
    <m/>
    <m/>
    <n v="133480678"/>
    <m/>
    <n v="-40000"/>
    <s v="Reembolsa saldo a favor parcela C-13"/>
  </r>
  <r>
    <x v="83"/>
    <s v="Traspaso De: Lisssette Patricia Riquelme Martinez"/>
    <x v="3"/>
    <s v="B7 - LISSETTE RIQUELME"/>
    <m/>
    <n v="133440678"/>
    <n v="844174"/>
    <m/>
    <m/>
  </r>
  <r>
    <x v="83"/>
    <s v="Traspaso De: Molina Saavedra Alberto Ricardo"/>
    <x v="3"/>
    <m/>
    <m/>
    <n v="134284852"/>
    <n v="1800000"/>
    <m/>
    <m/>
  </r>
  <r>
    <x v="83"/>
    <s v="Traspaso A: Dominique Hiriart"/>
    <x v="2"/>
    <m/>
    <s v="DOMI"/>
    <n v="136084852"/>
    <m/>
    <n v="-118348443"/>
    <s v="Paga deuda"/>
  </r>
  <r>
    <x v="83"/>
    <s v="Traspaso De: Juan Esteban Sanchez Bascur"/>
    <x v="3"/>
    <m/>
    <m/>
    <n v="17736409"/>
    <n v="4800000"/>
    <m/>
    <s v="Pie parcela C9"/>
  </r>
  <r>
    <x v="84"/>
    <s v="Traspaso A: Benjamin Lecaros"/>
    <x v="1"/>
    <m/>
    <s v="BLS"/>
    <n v="22536409"/>
    <m/>
    <n v="-2565000"/>
    <m/>
  </r>
  <r>
    <x v="84"/>
    <s v="Traspaso A: Carlos Ciuffardi"/>
    <x v="1"/>
    <m/>
    <m/>
    <n v="19971409"/>
    <m/>
    <n v="-1859625"/>
    <m/>
  </r>
  <r>
    <x v="84"/>
    <s v="Traspaso A: Martin Gouet"/>
    <x v="1"/>
    <m/>
    <m/>
    <n v="18111784"/>
    <m/>
    <n v="-50000"/>
    <s v="Firma de Puerto Montt"/>
  </r>
  <r>
    <x v="84"/>
    <s v="Recaudacion Y Pagos De Servicios *"/>
    <x v="7"/>
    <m/>
    <m/>
    <n v="18061784"/>
    <m/>
    <n v="-16000000"/>
    <m/>
  </r>
  <r>
    <x v="84"/>
    <s v="Pago Automatico Tarjeta De Credito"/>
    <x v="1"/>
    <m/>
    <m/>
    <n v="2061784"/>
    <m/>
    <n v="-498867"/>
    <m/>
  </r>
  <r>
    <x v="85"/>
    <s v="Traspaso A: Juan Nicolas Espinoza"/>
    <x v="1"/>
    <m/>
    <m/>
    <n v="1562917"/>
    <m/>
    <n v="-100035"/>
    <s v="Firma + retiro VV en Los Angeles"/>
  </r>
  <r>
    <x v="85"/>
    <s v="Pago: Inversiones 0965712208"/>
    <x v="7"/>
    <m/>
    <m/>
    <n v="1462882"/>
    <n v="16000000"/>
    <m/>
    <m/>
  </r>
  <r>
    <x v="85"/>
    <s v="Pago: Inversiones 0965712208"/>
    <x v="7"/>
    <m/>
    <m/>
    <n v="17462882"/>
    <n v="19569256"/>
    <m/>
    <m/>
  </r>
  <r>
    <x v="85"/>
    <s v="Pago En Sii.cl*"/>
    <x v="5"/>
    <m/>
    <m/>
    <n v="37032138"/>
    <m/>
    <n v="-894739"/>
    <s v="F29"/>
  </r>
  <r>
    <x v="85"/>
    <s v="Dep.cheq.otros Bancos N° 8025625"/>
    <x v="3"/>
    <m/>
    <m/>
    <n v="36137399"/>
    <n v="19800000"/>
    <m/>
    <s v="B8"/>
  </r>
  <r>
    <x v="86"/>
    <s v="Pago En Tesoreria.cl*"/>
    <x v="5"/>
    <m/>
    <m/>
    <n v="55937399"/>
    <m/>
    <n v="-351268"/>
    <s v="Contribuciones  "/>
  </r>
  <r>
    <x v="86"/>
    <s v="Traspaso De: Juan Gonzalo Arias"/>
    <x v="3"/>
    <m/>
    <m/>
    <n v="55586131"/>
    <n v="300000"/>
    <m/>
    <s v="Reserva A4 + D11"/>
  </r>
  <r>
    <x v="86"/>
    <s v="Traspaso A: Felipe Hiriart"/>
    <x v="2"/>
    <m/>
    <s v="FHB"/>
    <n v="55886131"/>
    <m/>
    <n v="-5000000"/>
    <m/>
  </r>
  <r>
    <x v="86"/>
    <s v="Traspaso A: Felipe Hiriart"/>
    <x v="2"/>
    <m/>
    <s v="FHB"/>
    <n v="50886131"/>
    <m/>
    <n v="-3751403"/>
    <m/>
  </r>
  <r>
    <x v="86"/>
    <s v="Traspaso A: Felipe Hiriart"/>
    <x v="2"/>
    <m/>
    <s v="FHB"/>
    <n v="47134728"/>
    <m/>
    <n v="-5000000"/>
    <m/>
  </r>
  <r>
    <x v="86"/>
    <s v="Traspaso A: Felipe Hiriart"/>
    <x v="2"/>
    <m/>
    <s v="FHB"/>
    <n v="42134728"/>
    <m/>
    <n v="-5000000"/>
    <m/>
  </r>
  <r>
    <x v="86"/>
    <s v="Traspaso A: Felipe Hiriart"/>
    <x v="2"/>
    <m/>
    <s v="FHB"/>
    <n v="37134728"/>
    <m/>
    <n v="-5000000"/>
    <m/>
  </r>
  <r>
    <x v="86"/>
    <s v="Traspaso A: Felipe Hiriart"/>
    <x v="2"/>
    <m/>
    <s v="FHB"/>
    <n v="32134728"/>
    <m/>
    <n v="-5000000"/>
    <m/>
  </r>
  <r>
    <x v="86"/>
    <s v="Traspaso A: Felipe Hiriart"/>
    <x v="2"/>
    <m/>
    <s v="FHB"/>
    <n v="27134728"/>
    <m/>
    <n v="-5000000"/>
    <m/>
  </r>
  <r>
    <x v="86"/>
    <s v="Traspaso A: Felipe Hiriart"/>
    <x v="2"/>
    <m/>
    <s v="FHB"/>
    <n v="22134728"/>
    <m/>
    <n v="-5000000"/>
    <m/>
  </r>
  <r>
    <x v="86"/>
    <s v="Traspaso A: Felipe Hiriart"/>
    <x v="2"/>
    <m/>
    <s v="FHB"/>
    <n v="17134728"/>
    <m/>
    <n v="-5000000"/>
    <m/>
  </r>
  <r>
    <x v="86"/>
    <s v="Recaudacion Y Pagos De Servicios *"/>
    <x v="7"/>
    <m/>
    <m/>
    <n v="12134728"/>
    <m/>
    <n v="-11000000"/>
    <m/>
  </r>
  <r>
    <x v="87"/>
    <s v="Traspaso De: Juan Gonzalo Arias"/>
    <x v="3"/>
    <m/>
    <m/>
    <n v="1134728"/>
    <n v="100000"/>
    <m/>
    <s v="Reserva A4 + D11"/>
  </r>
  <r>
    <x v="87"/>
    <s v="Dep.cheq.otros Bancos N° 4542919"/>
    <x v="3"/>
    <m/>
    <m/>
    <n v="1234728"/>
    <n v="19800000"/>
    <m/>
    <s v="C17"/>
  </r>
  <r>
    <x v="88"/>
    <s v="Traspaso De: Juan Gonzalo Arias"/>
    <x v="3"/>
    <m/>
    <m/>
    <n v="21034728"/>
    <n v="5000000"/>
    <m/>
    <s v="A4 + D11"/>
  </r>
  <r>
    <x v="88"/>
    <s v="Traspaso De: Juan Gonzalo Arias"/>
    <x v="3"/>
    <m/>
    <m/>
    <n v="26034728"/>
    <n v="5000000"/>
    <m/>
    <s v="A4 + D11"/>
  </r>
  <r>
    <x v="88"/>
    <s v="Traspaso A: Benjamin Lecaros"/>
    <x v="1"/>
    <m/>
    <s v="BLS"/>
    <n v="31034728"/>
    <m/>
    <n v="-855000"/>
    <m/>
  </r>
  <r>
    <x v="89"/>
    <s v="Recaudacion Y Pagos De Servicios *"/>
    <x v="7"/>
    <m/>
    <m/>
    <n v="30179728"/>
    <m/>
    <n v="-29000000"/>
    <m/>
  </r>
  <r>
    <x v="89"/>
    <s v="Traspaso De: Juan Gonzalo Arias"/>
    <x v="3"/>
    <m/>
    <m/>
    <n v="1179728"/>
    <n v="5000000"/>
    <m/>
    <s v="A4 + D11"/>
  </r>
  <r>
    <x v="89"/>
    <s v="Traspaso De: Juan Gonzalo Arias"/>
    <x v="3"/>
    <m/>
    <m/>
    <n v="6179728"/>
    <n v="5000000"/>
    <m/>
    <s v="A4 + D11"/>
  </r>
  <r>
    <x v="89"/>
    <s v="Recaudacion Y Pagos De Servicios *"/>
    <x v="7"/>
    <m/>
    <m/>
    <n v="11179728"/>
    <m/>
    <n v="-9000000"/>
    <m/>
  </r>
  <r>
    <x v="89"/>
    <s v="Traspaso A: Benjamin Lecaros"/>
    <x v="1"/>
    <m/>
    <s v="BLS"/>
    <n v="2179728"/>
    <m/>
    <n v="-855000"/>
    <s v="Asesoria Venta B8"/>
  </r>
  <r>
    <x v="90"/>
    <s v="Traspaso A: Andres Rieutord"/>
    <x v="4"/>
    <m/>
    <m/>
    <n v="1324728"/>
    <m/>
    <n v="-60000"/>
    <s v="Promesa C9"/>
  </r>
  <r>
    <x v="90"/>
    <s v="Traspaso A: Andres Rieutord"/>
    <x v="4"/>
    <m/>
    <m/>
    <n v="1264728"/>
    <m/>
    <n v="-120000"/>
    <s v="Escritura B11"/>
  </r>
  <r>
    <x v="90"/>
    <s v="Traspaso A: Andres Rieutord"/>
    <x v="4"/>
    <m/>
    <m/>
    <n v="1144728"/>
    <m/>
    <n v="-35000"/>
    <m/>
  </r>
  <r>
    <x v="90"/>
    <s v="Traspaso De: Juan Gonzalo Arias"/>
    <x v="3"/>
    <m/>
    <m/>
    <n v="1109728"/>
    <n v="5000000"/>
    <m/>
    <s v="A4 + D11"/>
  </r>
  <r>
    <x v="90"/>
    <s v="Traspaso De: Juan Gonzalo Arias"/>
    <x v="3"/>
    <m/>
    <m/>
    <n v="6109728"/>
    <n v="5000000"/>
    <m/>
    <s v="A4 + D11"/>
  </r>
  <r>
    <x v="90"/>
    <s v="Recaudacion Y Pagos De Servicios *"/>
    <x v="7"/>
    <m/>
    <m/>
    <n v="11109728"/>
    <m/>
    <n v="-10000000"/>
    <m/>
  </r>
  <r>
    <x v="90"/>
    <s v="Traspaso A: Conrad Pablo Zlch Parra"/>
    <x v="4"/>
    <m/>
    <m/>
    <n v="1109728"/>
    <m/>
    <n v="-155500"/>
    <s v="Inscripcion B11"/>
  </r>
  <r>
    <x v="91"/>
    <s v="Deposito En Efectivo N° 6443695"/>
    <x v="3"/>
    <m/>
    <m/>
    <n v="954228"/>
    <n v="21800000"/>
    <m/>
    <s v="B4"/>
  </r>
  <r>
    <x v="91"/>
    <s v="Recaudacion Y Pagos De Servicios *"/>
    <x v="7"/>
    <m/>
    <m/>
    <n v="22754228"/>
    <m/>
    <n v="-20000000"/>
    <m/>
  </r>
  <r>
    <x v="91"/>
    <s v="Traspaso A: Jorge Ignacio Troncoso Vidal"/>
    <x v="1"/>
    <m/>
    <m/>
    <n v="2754228"/>
    <m/>
    <n v="-50000"/>
    <m/>
  </r>
  <r>
    <x v="91"/>
    <s v="Dep.cheq.otros Bancos N° 6443696"/>
    <x v="3"/>
    <m/>
    <m/>
    <n v="2704228"/>
    <n v="21800000"/>
    <m/>
    <s v="A2"/>
  </r>
  <r>
    <x v="92"/>
    <s v="Traspaso A: Pedro Lecaros"/>
    <x v="1"/>
    <m/>
    <m/>
    <n v="24504228"/>
    <m/>
    <n v="-20000"/>
    <m/>
  </r>
  <r>
    <x v="92"/>
    <s v="Traspaso A: Benjamin Lecaros"/>
    <x v="1"/>
    <m/>
    <s v="BLS"/>
    <n v="24484228"/>
    <m/>
    <n v="-1710000"/>
    <m/>
  </r>
  <r>
    <x v="92"/>
    <s v="Traspaso A: Benjamin Lecaros"/>
    <x v="1"/>
    <m/>
    <s v="BLS"/>
    <n v="22774228"/>
    <m/>
    <n v="-855000"/>
    <m/>
  </r>
  <r>
    <x v="92"/>
    <s v="Dep.cheq.otros Bancos N° 3445795"/>
    <x v="3"/>
    <m/>
    <m/>
    <n v="21919228"/>
    <n v="19800000"/>
    <m/>
    <s v="C16"/>
  </r>
  <r>
    <x v="93"/>
    <s v="Recaudacion Y Pagos De Servicios *"/>
    <x v="7"/>
    <m/>
    <m/>
    <n v="41719228"/>
    <m/>
    <n v="-21000000"/>
    <m/>
  </r>
  <r>
    <x v="93"/>
    <s v="Traspaso De: Juan Gonzalo Arias"/>
    <x v="3"/>
    <m/>
    <m/>
    <n v="20719228"/>
    <n v="5000000"/>
    <m/>
    <s v="A4 + D11"/>
  </r>
  <r>
    <x v="93"/>
    <s v="Recaudacion Y Pagos De Servicios *"/>
    <x v="7"/>
    <m/>
    <m/>
    <n v="25719228"/>
    <m/>
    <n v="-5000000"/>
    <m/>
  </r>
  <r>
    <x v="94"/>
    <s v="Traspaso A: Denis Marcelo Bustos Fuentealba"/>
    <x v="1"/>
    <m/>
    <m/>
    <n v="20719228"/>
    <m/>
    <n v="-75000"/>
    <m/>
  </r>
  <r>
    <x v="94"/>
    <s v="Traspaso A: Benjamin Lecaros"/>
    <x v="1"/>
    <m/>
    <s v="BLS"/>
    <n v="20644228"/>
    <m/>
    <n v="-1710000"/>
    <m/>
  </r>
  <r>
    <x v="94"/>
    <s v="Recaudacion Y Pagos De Servicios *"/>
    <x v="7"/>
    <m/>
    <m/>
    <n v="18934228"/>
    <m/>
    <n v="-18000000"/>
    <m/>
  </r>
  <r>
    <x v="94"/>
    <s v="Dep.cheq.otros Bancos N° 2296642"/>
    <x v="3"/>
    <m/>
    <m/>
    <n v="934228"/>
    <n v="19800000"/>
    <m/>
    <s v="C12"/>
  </r>
  <r>
    <x v="95"/>
    <s v="Recaudacion Y Pagos De Servicios *"/>
    <x v="7"/>
    <m/>
    <m/>
    <n v="20734228"/>
    <m/>
    <n v="-20000000"/>
    <m/>
  </r>
  <r>
    <x v="96"/>
    <s v="Traspaso De: Juan Gonzalo Arias"/>
    <x v="3"/>
    <m/>
    <m/>
    <n v="734228"/>
    <n v="5000000"/>
    <m/>
    <m/>
  </r>
  <r>
    <x v="96"/>
    <s v="Recaudacion Y Pagos De Servicios *"/>
    <x v="7"/>
    <m/>
    <m/>
    <n v="5734228"/>
    <m/>
    <n v="-5000000"/>
    <m/>
  </r>
  <r>
    <x v="96"/>
    <s v="Dep.cheq.otros Bancos N° 3081647"/>
    <x v="3"/>
    <m/>
    <m/>
    <n v="734228"/>
    <n v="21800000"/>
    <m/>
    <s v="A1"/>
  </r>
  <r>
    <x v="97"/>
    <s v="Traspaso De: Teresa Andrea Sanhueza"/>
    <x v="3"/>
    <m/>
    <m/>
    <n v="22534228"/>
    <n v="250000"/>
    <m/>
    <s v="Reserva C6"/>
  </r>
  <r>
    <x v="97"/>
    <s v="Traspaso De: Doris Del Pilar Silva"/>
    <x v="3"/>
    <m/>
    <m/>
    <n v="22784228"/>
    <n v="200000"/>
    <m/>
    <s v="Reserva C2"/>
  </r>
  <r>
    <x v="97"/>
    <s v="Recaudacion Y Pagos De Servicios *"/>
    <x v="7"/>
    <m/>
    <m/>
    <n v="22984228"/>
    <m/>
    <n v="-15600000"/>
    <m/>
  </r>
  <r>
    <x v="97"/>
    <s v="Traspaso A: Benjamin Lecaros"/>
    <x v="1"/>
    <m/>
    <s v="BLS"/>
    <n v="7384228"/>
    <m/>
    <n v="-855000"/>
    <m/>
  </r>
  <r>
    <x v="98"/>
    <s v="Traspaso A: Felipe Hiriart"/>
    <x v="1"/>
    <m/>
    <m/>
    <n v="6529228"/>
    <m/>
    <n v="-1334539"/>
    <s v="Rendicion 4"/>
  </r>
  <r>
    <x v="98"/>
    <s v="Traspaso A: Jorge Ignacio Troncoso Vidal"/>
    <x v="1"/>
    <m/>
    <m/>
    <n v="5194689"/>
    <m/>
    <n v="-37000"/>
    <s v="Rendicion 5, viaje a Osorno"/>
  </r>
  <r>
    <x v="98"/>
    <s v="Traspaso A: Jorge Ignacio Troncoso Vidal"/>
    <x v="1"/>
    <m/>
    <m/>
    <n v="5157689"/>
    <m/>
    <n v="-50000"/>
    <s v="Retiro VV Osorno"/>
  </r>
  <r>
    <x v="98"/>
    <s v="Deposito En Efectivo N° 6443688"/>
    <x v="3"/>
    <m/>
    <m/>
    <n v="5107689"/>
    <n v="4800000"/>
    <m/>
    <s v="Pago pie A14"/>
  </r>
  <r>
    <x v="98"/>
    <s v="Recaudacion Y Pagos De Servicios *"/>
    <x v="7"/>
    <m/>
    <m/>
    <n v="9907689"/>
    <m/>
    <n v="-4000000"/>
    <m/>
  </r>
  <r>
    <x v="98"/>
    <s v="Traspaso A: Jorge Ignacio Troncoso Vidal"/>
    <x v="1"/>
    <m/>
    <m/>
    <n v="5907689"/>
    <m/>
    <n v="-50000"/>
    <m/>
  </r>
  <r>
    <x v="99"/>
    <s v="Traspaso A: Asesorias Ecox Spa"/>
    <x v="1"/>
    <m/>
    <m/>
    <n v="5857689"/>
    <m/>
    <n v="-4000000"/>
    <m/>
  </r>
  <r>
    <x v="99"/>
    <s v="Traspaso A: Asesorias Ecox Spa"/>
    <x v="1"/>
    <m/>
    <m/>
    <n v="1857689"/>
    <m/>
    <n v="-100000"/>
    <s v="Servicio contable"/>
  </r>
  <r>
    <x v="99"/>
    <s v="Traspaso De: Evelyn Paola Galarce Gonzalez"/>
    <x v="3"/>
    <m/>
    <m/>
    <n v="1757689"/>
    <n v="5000000"/>
    <m/>
    <s v="Pie C4"/>
  </r>
  <r>
    <x v="100"/>
    <s v="Traspaso A: Hector Varela"/>
    <x v="1"/>
    <m/>
    <m/>
    <n v="6757689"/>
    <m/>
    <n v="-168871"/>
    <s v="Reembolsa gastos"/>
  </r>
  <r>
    <x v="100"/>
    <s v="Traspaso A: Benjamin Lecaros"/>
    <x v="1"/>
    <m/>
    <s v="BLS"/>
    <n v="6588818"/>
    <m/>
    <n v="-1710000"/>
    <s v="Asesoria venta A14 C4"/>
  </r>
  <r>
    <x v="100"/>
    <s v="Recaudacion Y Pagos De Servicios *"/>
    <x v="7"/>
    <m/>
    <m/>
    <n v="4878818"/>
    <m/>
    <n v="-4000000"/>
    <m/>
  </r>
  <r>
    <x v="101"/>
    <s v="Traspaso De: Villota Gallegos Francisco Gabriel"/>
    <x v="3"/>
    <m/>
    <m/>
    <n v="878818"/>
    <n v="200000"/>
    <m/>
    <s v="Reserva C3"/>
  </r>
  <r>
    <x v="101"/>
    <s v="Traspaso De: Rodolfo Alexis Utreras"/>
    <x v="3"/>
    <s v="B9 - RODOLFO UTRERAS"/>
    <m/>
    <n v="1078818"/>
    <n v="379760"/>
    <m/>
    <m/>
  </r>
  <r>
    <x v="101"/>
    <s v="Traspaso De: Valentina Michelle Aranda Espinoza"/>
    <x v="3"/>
    <s v="A5 - VALENTINA ARANDA"/>
    <m/>
    <n v="1458578"/>
    <n v="1125465"/>
    <m/>
    <m/>
  </r>
  <r>
    <x v="101"/>
    <s v="Traspaso A: Jose Manuel Astorga Lanas"/>
    <x v="1"/>
    <m/>
    <s v="PUERTO OCTAY"/>
    <n v="2584043"/>
    <m/>
    <n v="-250476"/>
    <s v="Reembolsa gastos"/>
  </r>
  <r>
    <x v="102"/>
    <s v="Traspaso A: Andres Rieutord"/>
    <x v="4"/>
    <m/>
    <m/>
    <n v="2333567"/>
    <m/>
    <n v="-60000"/>
    <m/>
  </r>
  <r>
    <x v="102"/>
    <s v="Traspaso De: Lisssette Patricia Riquelme Martinez"/>
    <x v="3"/>
    <m/>
    <m/>
    <n v="2273567"/>
    <n v="846000"/>
    <m/>
    <m/>
  </r>
  <r>
    <x v="103"/>
    <s v="Recaudacion Y Pagos De Servicios *"/>
    <x v="7"/>
    <m/>
    <m/>
    <n v="3119567"/>
    <m/>
    <n v="-2000000"/>
    <m/>
  </r>
  <r>
    <x v="104"/>
    <s v="Traspaso De: Ximena Paz Ormazabal Canelo"/>
    <x v="3"/>
    <m/>
    <m/>
    <n v="1119567"/>
    <n v="2000000"/>
    <m/>
    <s v="C14, paga diferencia que faltaba en el vale vista"/>
  </r>
  <r>
    <x v="104"/>
    <s v="Pago Automatico Tarjeta De Credito"/>
    <x v="1"/>
    <m/>
    <m/>
    <n v="3119567"/>
    <m/>
    <n v="-786040"/>
    <s v="Cargo tarjeta de credito, publicidad"/>
  </r>
  <r>
    <x v="105"/>
    <s v="Pago: Inversiones 0965712208"/>
    <x v="7"/>
    <m/>
    <m/>
    <n v="2333527"/>
    <n v="1000000"/>
    <m/>
    <m/>
  </r>
  <r>
    <x v="105"/>
    <s v="Pago En Sii.cl*"/>
    <x v="5"/>
    <m/>
    <m/>
    <n v="3333527"/>
    <m/>
    <n v="-2508612"/>
    <s v="F29"/>
  </r>
  <r>
    <x v="106"/>
    <s v="Dep.cheq.otros Bancos N° 4501192"/>
    <x v="3"/>
    <m/>
    <m/>
    <n v="824915"/>
    <n v="39600000"/>
    <m/>
    <s v="Venta A19 + C18"/>
  </r>
  <r>
    <x v="107"/>
    <s v="Recaudacion Y Pagos De Servicios *"/>
    <x v="7"/>
    <m/>
    <m/>
    <n v="40424915"/>
    <m/>
    <n v="-37700000"/>
    <m/>
  </r>
  <r>
    <x v="107"/>
    <s v="Traspaso A: Felipe Hiriart"/>
    <x v="1"/>
    <m/>
    <m/>
    <n v="2724915"/>
    <m/>
    <n v="-1038218"/>
    <s v="Rendicion 6"/>
  </r>
  <r>
    <x v="107"/>
    <s v="Traspaso De: Juan Gonzalo Arias"/>
    <x v="3"/>
    <m/>
    <m/>
    <n v="1686697"/>
    <n v="4600000"/>
    <m/>
    <s v="A4+D11"/>
  </r>
  <r>
    <x v="108"/>
    <s v="Traspaso A: Sebastian Sada Aznar"/>
    <x v="4"/>
    <m/>
    <s v="PUERTO OCTAY"/>
    <n v="6286697"/>
    <m/>
    <n v="-450000"/>
    <s v="Promesa  "/>
  </r>
  <r>
    <x v="108"/>
    <s v="Traspaso A: Jorge Ignacio Troncoso Vidal"/>
    <x v="1"/>
    <m/>
    <s v="PUERTO OCTAY"/>
    <n v="5836697"/>
    <m/>
    <n v="-37000"/>
    <s v="Gastos Osorno Jorge Troncoso"/>
  </r>
  <r>
    <x v="108"/>
    <s v="Traspaso A: Jorge Ignacio Troncoso Vidal"/>
    <x v="1"/>
    <m/>
    <s v="PUERTO OCTAY"/>
    <n v="5799697"/>
    <m/>
    <n v="-50000"/>
    <s v="Firma de promesa"/>
  </r>
  <r>
    <x v="109"/>
    <s v="Traspaso De: Roberto Antonio Farias"/>
    <x v="3"/>
    <m/>
    <m/>
    <n v="5749697"/>
    <n v="200000"/>
    <m/>
    <s v="Reserva C5 Maria Elena"/>
  </r>
  <r>
    <x v="109"/>
    <s v="Traspaso A: Benjamin Lecaros"/>
    <x v="1"/>
    <m/>
    <s v="BLS"/>
    <n v="5949697"/>
    <m/>
    <n v="-3420000"/>
    <s v="Asesoria venta A4, A19, C18, D11"/>
  </r>
  <r>
    <x v="109"/>
    <s v="Traspaso A: German Marquez"/>
    <x v="1"/>
    <m/>
    <s v="PUERTO OCTAY"/>
    <n v="2529697"/>
    <m/>
    <n v="-1000000"/>
    <s v="Topografia German Marquez"/>
  </r>
  <r>
    <x v="109"/>
    <s v="Dep.cheq.otros Bancos N° 4791038"/>
    <x v="3"/>
    <m/>
    <m/>
    <n v="1529697"/>
    <n v="41300000"/>
    <m/>
    <s v="Lotes C13 y C10"/>
  </r>
  <r>
    <x v="110"/>
    <s v="Pago: Inversiones 0965712208"/>
    <x v="7"/>
    <m/>
    <m/>
    <n v="42829697"/>
    <n v="1000000"/>
    <m/>
    <m/>
  </r>
  <r>
    <x v="110"/>
    <s v="Traspaso De: Katherinne Andrea Orellana Saez"/>
    <x v="3"/>
    <m/>
    <m/>
    <n v="43829697"/>
    <n v="7000000"/>
    <m/>
    <s v="Parcela A10"/>
  </r>
  <r>
    <x v="110"/>
    <s v="Traspaso A: German Marquez"/>
    <x v="1"/>
    <m/>
    <s v="PUERTO OCTAY"/>
    <n v="50829697"/>
    <m/>
    <n v="-1745950"/>
    <s v="Topografia German Marquez"/>
  </r>
  <r>
    <x v="111"/>
    <s v="Recaudacion Y Pagos De Servicios *"/>
    <x v="7"/>
    <m/>
    <m/>
    <n v="49083747"/>
    <m/>
    <n v="-48000000"/>
    <m/>
  </r>
  <r>
    <x v="111"/>
    <s v="Traspaso A: Juan Nicolas Espinoza"/>
    <x v="1"/>
    <m/>
    <m/>
    <n v="1083747"/>
    <m/>
    <n v="-50000"/>
    <s v="Firma Los Angeles"/>
  </r>
  <r>
    <x v="112"/>
    <s v="Traspaso De: Katherinne Andrea Orellana Saez"/>
    <x v="3"/>
    <m/>
    <m/>
    <n v="1033747"/>
    <n v="4300000"/>
    <m/>
    <s v="Parcela A10"/>
  </r>
  <r>
    <x v="112"/>
    <s v="Recaudacion Y Pagos De Servicios *"/>
    <x v="7"/>
    <m/>
    <m/>
    <n v="5333747"/>
    <m/>
    <n v="-4500000"/>
    <m/>
  </r>
  <r>
    <x v="113"/>
    <s v="Traspaso A: Tesoreria Municipal Puerto Octay"/>
    <x v="1"/>
    <m/>
    <s v="PUERTO OCTAY"/>
    <n v="833747"/>
    <m/>
    <n v="-13784"/>
    <s v="Certificado DOM"/>
  </r>
  <r>
    <x v="113"/>
    <s v="Traspaso De: Lisssette Patricia Riquelme Riquelme"/>
    <x v="3"/>
    <m/>
    <m/>
    <n v="819963"/>
    <n v="5000000"/>
    <m/>
    <s v="Adelanta pago parcela B7"/>
  </r>
  <r>
    <x v="113"/>
    <s v="Deposito En Efectivo N° 4789770"/>
    <x v="3"/>
    <m/>
    <m/>
    <n v="5819963"/>
    <n v="55000001"/>
    <m/>
    <s v="Lotes A16, A17, A18 y C7"/>
  </r>
  <r>
    <x v="113"/>
    <s v="Dep.cheq.otros Bancos N° 4789767"/>
    <x v="3"/>
    <m/>
    <m/>
    <n v="60819964"/>
    <n v="33700001"/>
    <m/>
    <s v="Lotes A16, A17, A18 y C7"/>
  </r>
  <r>
    <x v="114"/>
    <s v="Pago: Inversiones 0965712208"/>
    <x v="7"/>
    <m/>
    <m/>
    <n v="94519965"/>
    <n v="262430812"/>
    <m/>
    <m/>
  </r>
  <r>
    <x v="114"/>
    <s v="Traspaso A: Inversiones Lonquen Limitada"/>
    <x v="2"/>
    <m/>
    <s v="LONQUEN"/>
    <n v="356950777"/>
    <m/>
    <n v="-267782920"/>
    <m/>
  </r>
  <r>
    <x v="114"/>
    <s v="Traspaso A: Pedro Lecaros"/>
    <x v="2"/>
    <m/>
    <s v="PLS"/>
    <n v="89167857"/>
    <m/>
    <n v="-5000000"/>
    <m/>
  </r>
  <r>
    <x v="114"/>
    <s v="Traspaso A: Pedro Lecaros"/>
    <x v="2"/>
    <m/>
    <s v="PLS"/>
    <n v="84167857"/>
    <m/>
    <n v="-2500000"/>
    <m/>
  </r>
  <r>
    <x v="114"/>
    <s v="Traspaso A: Benjamin Lecaros"/>
    <x v="2"/>
    <m/>
    <s v="BLS"/>
    <n v="81667857"/>
    <m/>
    <n v="-5000000"/>
    <m/>
  </r>
  <r>
    <x v="114"/>
    <s v="Traspaso A: Pedro Lecaros"/>
    <x v="2"/>
    <m/>
    <s v="PLS"/>
    <n v="76667857"/>
    <m/>
    <n v="-5000000"/>
    <m/>
  </r>
  <r>
    <x v="114"/>
    <s v="Traspaso A: Pedro Lecaros"/>
    <x v="2"/>
    <m/>
    <s v="PLS"/>
    <n v="71667857"/>
    <m/>
    <n v="-5000000"/>
    <m/>
  </r>
  <r>
    <x v="114"/>
    <s v="Traspaso A: Pedro Lecaros"/>
    <x v="2"/>
    <m/>
    <s v="PLS"/>
    <n v="66667857"/>
    <m/>
    <n v="-5000000"/>
    <m/>
  </r>
  <r>
    <x v="114"/>
    <s v="Traspaso A: Pedro Lecaros"/>
    <x v="2"/>
    <m/>
    <s v="PLS"/>
    <n v="61667857"/>
    <m/>
    <n v="-5000000"/>
    <m/>
  </r>
  <r>
    <x v="114"/>
    <s v="Traspaso A: Pedro Lecaros"/>
    <x v="2"/>
    <m/>
    <s v="PLS"/>
    <n v="56667857"/>
    <m/>
    <n v="-5000000"/>
    <m/>
  </r>
  <r>
    <x v="114"/>
    <s v="Traspaso A: Benjamin Lecaros"/>
    <x v="1"/>
    <m/>
    <s v="BLS"/>
    <n v="51667857"/>
    <m/>
    <n v="-5130000"/>
    <s v="Asesoria venta A16, A17, A18, C7, C10, C13"/>
  </r>
  <r>
    <x v="114"/>
    <s v="Traspaso De: Benjamin Jose Lecaros Sotomayor"/>
    <x v="2"/>
    <m/>
    <s v="BLS"/>
    <n v="46537857"/>
    <n v="200000"/>
    <m/>
    <s v="Devolucion 1/2 error transferencia"/>
  </r>
  <r>
    <x v="114"/>
    <s v="Traspaso A: Pedro Lecaros"/>
    <x v="2"/>
    <m/>
    <s v="PLS"/>
    <n v="46737857"/>
    <m/>
    <n v="-5000000"/>
    <m/>
  </r>
  <r>
    <x v="115"/>
    <s v="Traspaso A: Jose Miguel Parro Fluxa"/>
    <x v="2"/>
    <m/>
    <s v="JMP"/>
    <n v="41737857"/>
    <m/>
    <n v="-12500000"/>
    <m/>
  </r>
  <r>
    <x v="115"/>
    <s v="Traspaso A: Inversiones Jopa Limitada"/>
    <x v="2"/>
    <m/>
    <s v="JOPA"/>
    <n v="29237857"/>
    <m/>
    <n v="-25000000"/>
    <m/>
  </r>
  <r>
    <x v="115"/>
    <s v="Traspaso De: Lisssette Patricia Riquelme Martinez"/>
    <x v="3"/>
    <s v="B7 - LISSETTE RIQUELME"/>
    <m/>
    <n v="4237857"/>
    <n v="5000000"/>
    <m/>
    <s v="Adelanta pago parcela B7"/>
  </r>
  <r>
    <x v="115"/>
    <s v="Traspaso De: Benjamin Jose Lecaros"/>
    <x v="2"/>
    <m/>
    <s v="BLS"/>
    <n v="9237857"/>
    <n v="4800000"/>
    <m/>
    <s v="Devolucion 2/2 error transferencia"/>
  </r>
  <r>
    <x v="115"/>
    <s v="Traspaso De: Rodolfo Andres Ramirez Ortiz"/>
    <x v="3"/>
    <s v="C11 - RODOLFO RAMÍREZ"/>
    <m/>
    <n v="14037857"/>
    <n v="5000000"/>
    <m/>
    <s v="Adelanta pago parcela C11"/>
  </r>
  <r>
    <x v="115"/>
    <s v="Recaudacion Y Pagos De Servicios *"/>
    <x v="7"/>
    <m/>
    <m/>
    <n v="19037857"/>
    <m/>
    <n v="-18000000"/>
    <m/>
  </r>
  <r>
    <x v="115"/>
    <s v="Traspaso A: Benjamin Lecaros"/>
    <x v="1"/>
    <m/>
    <s v="PUERTO OCTAY"/>
    <n v="1037857"/>
    <m/>
    <n v="-6856"/>
    <s v="Escaneo plano tekkrom"/>
  </r>
  <r>
    <x v="115"/>
    <s v="Traspaso A: Andres Rieutord"/>
    <x v="4"/>
    <m/>
    <m/>
    <n v="1031001"/>
    <m/>
    <n v="-60000"/>
    <s v="Mandato C6"/>
  </r>
  <r>
    <x v="115"/>
    <s v="Traspaso A: Andres Rieutord"/>
    <x v="4"/>
    <m/>
    <m/>
    <n v="971001"/>
    <m/>
    <n v="-60000"/>
    <s v="Mandato"/>
  </r>
  <r>
    <x v="116"/>
    <s v="Traspaso De: Rodolfo Andres Ramirez Ortiz"/>
    <x v="3"/>
    <m/>
    <m/>
    <n v="911001"/>
    <n v="5000000"/>
    <m/>
    <s v="Adelanta pago parcela C11"/>
  </r>
  <r>
    <x v="116"/>
    <s v="Recaudacion Y Pagos De Servicios *"/>
    <x v="7"/>
    <m/>
    <m/>
    <n v="5911001"/>
    <m/>
    <n v="-5000000"/>
    <m/>
  </r>
  <r>
    <x v="116"/>
    <s v="Traspaso A: Daniel Gebauer"/>
    <x v="1"/>
    <m/>
    <s v="PUERTO OCTAY"/>
    <n v="911001"/>
    <m/>
    <n v="-38400"/>
    <s v="Reembolsa gasto CBR"/>
  </r>
  <r>
    <x v="117"/>
    <s v="Traspaso De: Rodolfo Andres Ramirez Ortiz"/>
    <x v="3"/>
    <m/>
    <m/>
    <n v="872601"/>
    <n v="5000000"/>
    <m/>
    <s v="Adelanta pago parcela C11"/>
  </r>
  <r>
    <x v="118"/>
    <s v="Traspaso De: Juan Esteban Sanchez Bascur"/>
    <x v="3"/>
    <s v="C9 - JUAN ESTEBAN SANCHEZ"/>
    <m/>
    <n v="5872601"/>
    <n v="611111"/>
    <m/>
    <s v="Cuota 1/36"/>
  </r>
  <r>
    <x v="118"/>
    <s v="Deposito En Efectivo N° 2946967"/>
    <x v="3"/>
    <m/>
    <m/>
    <n v="6483712"/>
    <n v="6500000"/>
    <m/>
    <s v="Katherine Orellana A10"/>
  </r>
  <r>
    <x v="118"/>
    <s v="Traspaso De: Katherinne Andrea Orellana Saez"/>
    <x v="3"/>
    <m/>
    <m/>
    <n v="12983712"/>
    <n v="2000000"/>
    <m/>
    <s v="Katherine Orellana A10"/>
  </r>
  <r>
    <x v="118"/>
    <s v="Recaudacion Y Pagos De Servicios *"/>
    <x v="7"/>
    <m/>
    <m/>
    <n v="14983712"/>
    <m/>
    <n v="-9000000"/>
    <m/>
  </r>
  <r>
    <x v="119"/>
    <s v="Traspaso A: La Nube Fotografia Ltda."/>
    <x v="1"/>
    <m/>
    <s v="PUERTO OCTAY"/>
    <n v="5983712"/>
    <m/>
    <n v="-535500"/>
    <s v="Nube Puerto Octay"/>
  </r>
  <r>
    <x v="119"/>
    <s v="Traspaso De: Rodolfo Alexis Utreras"/>
    <x v="3"/>
    <s v="B9 - RODOLFO UTRERAS"/>
    <m/>
    <n v="5448212"/>
    <n v="378803"/>
    <m/>
    <m/>
  </r>
  <r>
    <x v="119"/>
    <s v="Traspaso A: Asesorias Ecox Spa"/>
    <x v="1"/>
    <m/>
    <m/>
    <n v="5827015"/>
    <m/>
    <n v="-4000000"/>
    <m/>
  </r>
  <r>
    <x v="119"/>
    <s v="Traspaso De: Valentina Michelle Aranda Espinoza"/>
    <x v="3"/>
    <s v="A5 - VALENTINA ARANDA"/>
    <m/>
    <n v="1827015"/>
    <n v="1144664"/>
    <m/>
    <m/>
  </r>
  <r>
    <x v="120"/>
    <s v="Traspaso De: Evelyn Paola Galarce Gonzalez"/>
    <x v="3"/>
    <s v="C4 - EVELYN PAOLA GALARCE"/>
    <m/>
    <n v="2971679"/>
    <n v="716667"/>
    <m/>
    <s v="Cuota 1/24"/>
  </r>
  <r>
    <x v="120"/>
    <s v="Traspaso De: Lisssette Patricia Riquelme Martinez"/>
    <x v="3"/>
    <s v="B7 - LISSETTE RIQUELME"/>
    <m/>
    <n v="3688346"/>
    <n v="3693898"/>
    <m/>
    <s v="Termina pago B7"/>
  </r>
  <r>
    <x v="120"/>
    <s v="Aporte A Fondo Mutuo"/>
    <x v="7"/>
    <m/>
    <m/>
    <n v="7382244"/>
    <m/>
    <n v="-5000000"/>
    <m/>
  </r>
  <r>
    <x v="121"/>
    <s v="Traspaso A: Hector Varela"/>
    <x v="1"/>
    <m/>
    <m/>
    <n v="2382244"/>
    <m/>
    <n v="-183101"/>
    <s v="Reembolsa gastos bencina"/>
  </r>
  <r>
    <x v="121"/>
    <s v="Traspaso A: Benjamin Lecaros"/>
    <x v="1"/>
    <m/>
    <s v="BLS"/>
    <n v="2199143"/>
    <m/>
    <n v="-85204"/>
    <s v="Planos"/>
  </r>
  <r>
    <x v="121"/>
    <s v="Traspaso A: Asesorias Ecox Spa"/>
    <x v="1"/>
    <m/>
    <m/>
    <n v="2113939"/>
    <m/>
    <n v="-100000"/>
    <s v="contabilidad"/>
  </r>
  <r>
    <x v="122"/>
    <s v="Traspaso A: Rios Y Compania Abogados Limitada"/>
    <x v="1"/>
    <m/>
    <m/>
    <n v="2013939"/>
    <m/>
    <n v="-587685"/>
    <m/>
  </r>
  <r>
    <x v="123"/>
    <s v="Pago Automatico Tarjeta De Credito"/>
    <x v="1"/>
    <m/>
    <m/>
    <n v="1426254"/>
    <m/>
    <n v="-49264"/>
    <s v="publicidad"/>
  </r>
  <r>
    <x v="124"/>
    <s v="Traspaso A: Felipe Hiriart"/>
    <x v="1"/>
    <m/>
    <m/>
    <n v="1376990"/>
    <m/>
    <n v="-570236"/>
    <s v="Rendicion 7"/>
  </r>
  <r>
    <x v="125"/>
    <s v="Pago: Inversiones 0965712208"/>
    <x v="7"/>
    <m/>
    <m/>
    <n v="806754"/>
    <n v="2200000"/>
    <m/>
    <m/>
  </r>
  <r>
    <x v="125"/>
    <s v="Pago En Sii.cl*"/>
    <x v="5"/>
    <m/>
    <m/>
    <n v="3006754"/>
    <m/>
    <n v="-2222647"/>
    <s v="F29"/>
  </r>
  <r>
    <x v="126"/>
    <s v="Traspaso A: Benjamin Lecaros"/>
    <x v="1"/>
    <m/>
    <s v="BLS"/>
    <n v="784107"/>
    <m/>
    <n v="-76160"/>
    <s v="Reembolso Tekkrom"/>
  </r>
  <r>
    <x v="126"/>
    <s v="Traspaso A: Andres Rieutord"/>
    <x v="4"/>
    <m/>
    <m/>
    <n v="707947"/>
    <m/>
    <n v="-40000"/>
    <m/>
  </r>
  <r>
    <x v="127"/>
    <s v="Traspaso De: Katherinne Andrea Orellana Saez"/>
    <x v="3"/>
    <m/>
    <m/>
    <n v="667947"/>
    <n v="2000000"/>
    <m/>
    <s v="Parcela A10 - Katherine"/>
  </r>
  <r>
    <x v="127"/>
    <s v="Aporte A Fondo Mutuo"/>
    <x v="7"/>
    <m/>
    <m/>
    <n v="2667947"/>
    <m/>
    <n v="-2000000"/>
    <m/>
  </r>
  <r>
    <x v="128"/>
    <s v="Traspaso A: Conrad Pablo Zlch Parra"/>
    <x v="1"/>
    <m/>
    <m/>
    <n v="667947"/>
    <m/>
    <n v="-31000"/>
    <s v="Alzamiento C11"/>
  </r>
  <r>
    <x v="129"/>
    <s v="Traspaso A: Benjamin Lecaros"/>
    <x v="1"/>
    <m/>
    <s v="BLS"/>
    <n v="636947"/>
    <m/>
    <n v="-9674"/>
    <m/>
  </r>
  <r>
    <x v="129"/>
    <s v="Traspaso De: Galarce Gonzalez Evelyn Paola"/>
    <x v="3"/>
    <s v="C4 - EVELYN PAOLA GALARCE"/>
    <m/>
    <n v="627273"/>
    <n v="300000"/>
    <m/>
    <s v="Prepaga parcela C4"/>
  </r>
  <r>
    <x v="129"/>
    <s v="Traspaso De: Evelyn Paola Galarce Gonzalez"/>
    <x v="3"/>
    <s v="C4 - EVELYN PAOLA GALARCE"/>
    <m/>
    <n v="927273"/>
    <n v="5000000"/>
    <m/>
    <s v="Prepaga parcela C4"/>
  </r>
  <r>
    <x v="129"/>
    <s v="Traspaso A: Felipe Hiriart"/>
    <x v="1"/>
    <m/>
    <m/>
    <n v="5927273"/>
    <m/>
    <n v="-598208"/>
    <s v="Rendicion 8"/>
  </r>
  <r>
    <x v="129"/>
    <s v="Traspaso A: Pedro Lecaros"/>
    <x v="1"/>
    <m/>
    <m/>
    <n v="5329065"/>
    <m/>
    <n v="-1204109"/>
    <s v="Rendicion 9"/>
  </r>
  <r>
    <x v="129"/>
    <s v="Dep.cheq.otros Bancos N° 7841124"/>
    <x v="3"/>
    <m/>
    <m/>
    <n v="4124956"/>
    <n v="17800000"/>
    <m/>
    <s v="Parcela C-14"/>
  </r>
  <r>
    <x v="130"/>
    <s v="Traspaso De: Galarce Gonzalez Evelyn Paola"/>
    <x v="3"/>
    <s v="C4 - EVELYN PAOLA GALARCE"/>
    <m/>
    <n v="21924956"/>
    <n v="5000000"/>
    <m/>
    <s v="Prepaga parcela C4"/>
  </r>
  <r>
    <x v="130"/>
    <s v="Traspaso A: Benjamin Lecaros"/>
    <x v="1"/>
    <m/>
    <s v="BLS"/>
    <n v="26924956"/>
    <m/>
    <n v="-855000"/>
    <s v="Asesoria venta C14"/>
  </r>
  <r>
    <x v="130"/>
    <s v="Traspaso A: Hernan Pizarro"/>
    <x v="1"/>
    <m/>
    <m/>
    <n v="26069956"/>
    <m/>
    <n v="-344739"/>
    <s v="Arquitectura"/>
  </r>
  <r>
    <x v="130"/>
    <s v="Aporte A Fondo Mutuo"/>
    <x v="7"/>
    <m/>
    <m/>
    <n v="25725217"/>
    <m/>
    <n v="-7500000"/>
    <m/>
  </r>
  <r>
    <x v="130"/>
    <s v="Traspaso De: Galarce Gonzalez Evelyn Paola"/>
    <x v="3"/>
    <s v="C4 - EVELYN PAOLA GALARCE"/>
    <m/>
    <n v="18225217"/>
    <n v="5000000"/>
    <m/>
    <s v="Prepaga parcela C4"/>
  </r>
  <r>
    <x v="130"/>
    <s v="Traspaso De: Evelyn Paola Galarce Gonzalez"/>
    <x v="3"/>
    <s v="C4 - EVELYN PAOLA GALARCE"/>
    <m/>
    <n v="23225217"/>
    <n v="1783333"/>
    <m/>
    <s v="Prepaga parcela C4"/>
  </r>
  <r>
    <x v="131"/>
    <s v="Aporte A Fondo Mutuo"/>
    <x v="7"/>
    <m/>
    <m/>
    <n v="25008550"/>
    <m/>
    <n v="-20000000"/>
    <m/>
  </r>
  <r>
    <x v="132"/>
    <s v="Traspaso De: Valentina Michelle Aranda Espinoza"/>
    <x v="3"/>
    <s v="A5 - VALENTINA ARANDA"/>
    <m/>
    <n v="5008550"/>
    <n v="1150099"/>
    <m/>
    <m/>
  </r>
  <r>
    <x v="132"/>
    <s v="Traspaso A: Asesorias Ecox Spa"/>
    <x v="1"/>
    <m/>
    <m/>
    <n v="6158649"/>
    <m/>
    <n v="-4000000"/>
    <s v="Servicio de gestion"/>
  </r>
  <r>
    <x v="132"/>
    <s v="Transferencia De Otro Banco Via Spav"/>
    <x v="3"/>
    <m/>
    <m/>
    <n v="2158649"/>
    <n v="20146327"/>
    <m/>
    <s v="Parcela A-14"/>
  </r>
  <r>
    <x v="133"/>
    <s v="Traspaso De: Lissette Patricia Riquelme Martinez"/>
    <x v="1"/>
    <m/>
    <m/>
    <n v="22304976"/>
    <n v="155500"/>
    <m/>
    <m/>
  </r>
  <r>
    <x v="133"/>
    <s v="Traspaso A: Hector Varela"/>
    <x v="1"/>
    <m/>
    <m/>
    <n v="22460476"/>
    <m/>
    <n v="-188729"/>
    <s v="Reembolsa gastos"/>
  </r>
  <r>
    <x v="133"/>
    <s v="Traspaso A: Conrad Pablo Zlch Parra"/>
    <x v="1"/>
    <m/>
    <m/>
    <n v="22271747"/>
    <m/>
    <n v="-155500"/>
    <m/>
  </r>
  <r>
    <x v="133"/>
    <s v="Traspaso A: Benjamin Lecaros"/>
    <x v="1"/>
    <m/>
    <s v="BLS"/>
    <n v="22116247"/>
    <m/>
    <n v="-4132500"/>
    <s v="Reembolsa gastos durante el año CBR Rendicion 10"/>
  </r>
  <r>
    <x v="133"/>
    <s v="Traspaso De: Juan Esteban Sanchez Bascur"/>
    <x v="3"/>
    <s v="C9 - JUAN ESTEBAN SANCHEZ"/>
    <m/>
    <n v="17983747"/>
    <n v="614940"/>
    <m/>
    <m/>
  </r>
  <r>
    <x v="133"/>
    <s v="Traspaso De: Evelyn Paola Galarce Gonzalez"/>
    <x v="1"/>
    <m/>
    <m/>
    <n v="18598687"/>
    <n v="164500"/>
    <m/>
    <m/>
  </r>
  <r>
    <x v="134"/>
    <s v="Traspaso A: Conrad Pablo Zlch Parra"/>
    <x v="1"/>
    <m/>
    <m/>
    <n v="18763187"/>
    <m/>
    <n v="-164500"/>
    <m/>
  </r>
  <r>
    <x v="134"/>
    <s v="Traspaso De: Rodolfo Alexis Utreras"/>
    <x v="3"/>
    <s v="B9 - RODOLFO UTRERAS"/>
    <m/>
    <n v="18598687"/>
    <n v="381056"/>
    <m/>
    <m/>
  </r>
  <r>
    <x v="134"/>
    <s v="Pago: Inversiones 0965712208"/>
    <x v="7"/>
    <m/>
    <m/>
    <n v="18979743"/>
    <n v="4000000"/>
    <m/>
    <m/>
  </r>
  <r>
    <x v="134"/>
    <s v="Pago: Inversiones 0965712208"/>
    <x v="7"/>
    <m/>
    <m/>
    <n v="22979743"/>
    <n v="8500001"/>
    <m/>
    <m/>
  </r>
  <r>
    <x v="134"/>
    <s v="Traspaso A: Pedro Lecaros"/>
    <x v="2"/>
    <m/>
    <s v="PLS"/>
    <n v="31479744"/>
    <m/>
    <n v="-5000000"/>
    <m/>
  </r>
  <r>
    <x v="134"/>
    <s v="Traspaso A: Inversiones Jopa Limitada"/>
    <x v="2"/>
    <m/>
    <s v="JOPA"/>
    <n v="26479744"/>
    <m/>
    <n v="-10000000"/>
    <m/>
  </r>
  <r>
    <x v="134"/>
    <s v="Traspaso A: Pedro Lecaros"/>
    <x v="2"/>
    <m/>
    <s v="PLS"/>
    <n v="16479744"/>
    <m/>
    <n v="-5000000"/>
    <m/>
  </r>
  <r>
    <x v="134"/>
    <s v="Traspaso A: Jose Miguel Parro Fluxa"/>
    <x v="2"/>
    <m/>
    <s v="JMP"/>
    <n v="11479744"/>
    <m/>
    <n v="-5000000"/>
    <m/>
  </r>
  <r>
    <x v="134"/>
    <s v="Traspaso A: Pedro Lecaros"/>
    <x v="2"/>
    <m/>
    <s v="PLS"/>
    <n v="6479744"/>
    <m/>
    <n v="-5000000"/>
    <m/>
  </r>
  <r>
    <x v="135"/>
    <m/>
    <x v="0"/>
    <m/>
    <m/>
    <n v="1479744"/>
    <m/>
    <m/>
    <m/>
  </r>
  <r>
    <x v="135"/>
    <m/>
    <x v="0"/>
    <m/>
    <m/>
    <n v="1479744"/>
    <m/>
    <m/>
    <m/>
  </r>
  <r>
    <x v="135"/>
    <m/>
    <x v="0"/>
    <m/>
    <m/>
    <n v="1479744"/>
    <m/>
    <m/>
    <m/>
  </r>
  <r>
    <x v="135"/>
    <m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B0B01-4712-4F10-A235-DF2AF76B344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 rowPageCount="1" colPageCount="1"/>
  <pivotFields count="8">
    <pivotField showAll="0"/>
    <pivotField axis="axisPage" showAll="0">
      <items count="9">
        <item x="7"/>
        <item x="1"/>
        <item x="5"/>
        <item x="6"/>
        <item x="4"/>
        <item x="2"/>
        <item x="3"/>
        <item x="0"/>
        <item t="default"/>
      </items>
    </pivotField>
    <pivotField showAll="0"/>
    <pivotField axis="axisRow" showAll="0">
      <items count="11">
        <item x="4"/>
        <item x="7"/>
        <item x="6"/>
        <item x="8"/>
        <item x="0"/>
        <item x="1"/>
        <item x="2"/>
        <item x="3"/>
        <item x="5"/>
        <item x="9"/>
        <item t="default"/>
      </items>
    </pivotField>
    <pivotField showAll="0"/>
    <pivotField dataField="1" showAll="0"/>
    <pivotField dataField="1" showAll="0"/>
    <pivotField showAll="0"/>
  </pivotFields>
  <rowFields count="1">
    <field x="3"/>
  </rowFields>
  <rowItems count="9">
    <i>
      <x/>
    </i>
    <i>
      <x v="1"/>
    </i>
    <i>
      <x v="2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5" hier="-1"/>
  </pageFields>
  <dataFields count="2">
    <dataField name="Sum of DEPOSITO" fld="5" baseField="0" baseItem="0"/>
    <dataField name="Sum of GIROS" fld="6" baseField="0" baseItem="0"/>
  </dataFields>
  <formats count="2">
    <format dxfId="9">
      <pivotArea outline="0" collapsedLevelsAreSubtotals="1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9F2F8-DD47-4908-A119-A07526329E4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C31" firstHeaderRow="0" firstDataRow="1" firstDataCol="1"/>
  <pivotFields count="9">
    <pivotField showAll="0"/>
    <pivotField showAll="0"/>
    <pivotField axis="axisRow" showAll="0">
      <items count="9">
        <item x="7"/>
        <item x="1"/>
        <item x="5"/>
        <item x="6"/>
        <item x="4"/>
        <item x="2"/>
        <item x="3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POSITO" fld="6" baseField="0" baseItem="0"/>
    <dataField name="Sum of GIROS" fld="7" baseField="0" baseItem="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FB7AAF-4797-4195-9DCB-8C7F9FCED38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7:C45" firstHeaderRow="0" firstDataRow="1" firstDataCol="1" rowPageCount="1" colPageCount="1"/>
  <pivotFields count="9">
    <pivotField axis="axisPage" multipleItemSelectionAllowed="1" showAll="0">
      <items count="13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t="default"/>
      </items>
    </pivotField>
    <pivotField showAll="0"/>
    <pivotField axis="axisRow" showAll="0">
      <items count="9">
        <item x="7"/>
        <item x="1"/>
        <item x="5"/>
        <item x="6"/>
        <item x="4"/>
        <item x="2"/>
        <item x="3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DEPOSITO" fld="6" baseField="0" baseItem="0"/>
    <dataField name="Sum of GIROS" fld="7" baseField="0" baseItem="0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6635AD-4D89-4A82-8E7A-AFE55DCCAEA7}" name="Table3" displayName="Table3" ref="B1:I729" totalsRowShown="0" headerRowDxfId="7" dataDxfId="5" headerRowBorderDxfId="6" tableBorderDxfId="4">
  <autoFilter ref="B1:I729" xr:uid="{256635AD-4D89-4A82-8E7A-AFE55DCCAEA7}"/>
  <tableColumns count="8">
    <tableColumn id="1" xr3:uid="{296D9FD2-F009-40EC-978F-C84F48A6D63C}" name="DETALLE"/>
    <tableColumn id="2" xr3:uid="{219A8E98-5627-4806-9660-C8801E88AE3F}" name="CATEGORIA"/>
    <tableColumn id="3" xr3:uid="{1186E174-699B-409A-BE6A-F6CCDF01D1C6}" name="PARCELA"/>
    <tableColumn id="4" xr3:uid="{D0FB856E-756B-41E2-83DE-E999BD9EBA92}" name="SUB"/>
    <tableColumn id="5" xr3:uid="{A584078E-5488-4E1F-977F-D5D8A6FAD45F}" name="SALDO" dataDxfId="3"/>
    <tableColumn id="6" xr3:uid="{7D55C17B-ADE1-4638-9787-FE8DF81B47C9}" name="DEPOSITO" dataDxfId="2"/>
    <tableColumn id="7" xr3:uid="{D44C0AD2-D7FA-494B-A7C8-D417C8683636}" name="GIROS" dataDxfId="1"/>
    <tableColumn id="8" xr3:uid="{AE09D32B-3A31-4380-A140-5D8E06AFEFA2}" name="COMENTAR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7AE28-2375-48C7-A656-DEEB93D52957}" name="Table1" displayName="Table1" ref="A1:A13" totalsRowShown="0">
  <autoFilter ref="A1:A13" xr:uid="{BAD7AE28-2375-48C7-A656-DEEB93D52957}"/>
  <tableColumns count="1">
    <tableColumn id="1" xr3:uid="{FEF01675-AE39-4947-90B4-FF4A152ABEB8}" name="CATEGOR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B82FD5-B412-4E0D-B077-4C640B1E542E}" name="Table2" displayName="Table2" ref="B1:C22" totalsRowShown="0">
  <autoFilter ref="B1:C22" xr:uid="{2BB82FD5-B412-4E0D-B077-4C640B1E542E}"/>
  <tableColumns count="2">
    <tableColumn id="1" xr3:uid="{C4DCE3EE-B2B2-48E4-94C9-F8A181717A95}" name="SUB"/>
    <tableColumn id="2" xr3:uid="{B684D150-AA69-4CF3-A887-6E815744E520}" name="PARCE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2983-4EAA-4C88-A2F8-DB571790E363}">
  <dimension ref="A1:J45"/>
  <sheetViews>
    <sheetView topLeftCell="A25" workbookViewId="0">
      <selection activeCell="A37" sqref="A37"/>
    </sheetView>
  </sheetViews>
  <sheetFormatPr defaultColWidth="9.109375" defaultRowHeight="14.4"/>
  <cols>
    <col min="1" max="1" width="23.44140625" bestFit="1" customWidth="1"/>
    <col min="2" max="2" width="16.33203125" bestFit="1" customWidth="1"/>
    <col min="3" max="3" width="16.6640625" bestFit="1" customWidth="1"/>
    <col min="4" max="4" width="16" bestFit="1" customWidth="1"/>
    <col min="5" max="9" width="9.6640625" bestFit="1" customWidth="1"/>
    <col min="10" max="10" width="13.33203125" bestFit="1" customWidth="1"/>
    <col min="11" max="17" width="9.6640625" bestFit="1" customWidth="1"/>
    <col min="18" max="53" width="8.6640625" bestFit="1" customWidth="1"/>
    <col min="54" max="102" width="7.6640625" bestFit="1" customWidth="1"/>
    <col min="103" max="130" width="6.6640625" bestFit="1" customWidth="1"/>
    <col min="131" max="135" width="5.6640625" bestFit="1" customWidth="1"/>
    <col min="136" max="137" width="4.6640625" bestFit="1" customWidth="1"/>
    <col min="138" max="139" width="2.6640625" bestFit="1" customWidth="1"/>
    <col min="140" max="140" width="11" bestFit="1" customWidth="1"/>
    <col min="141" max="141" width="11.33203125" bestFit="1" customWidth="1"/>
  </cols>
  <sheetData>
    <row r="1" spans="1:10">
      <c r="A1" s="16" t="s">
        <v>1</v>
      </c>
      <c r="B1" t="s">
        <v>20</v>
      </c>
    </row>
    <row r="3" spans="1:10">
      <c r="A3" s="16" t="s">
        <v>458</v>
      </c>
      <c r="B3" s="18" t="s">
        <v>459</v>
      </c>
      <c r="C3" s="18" t="s">
        <v>460</v>
      </c>
      <c r="D3" s="20"/>
    </row>
    <row r="4" spans="1:10">
      <c r="A4" s="17" t="s">
        <v>126</v>
      </c>
      <c r="B4" s="18">
        <v>17570170</v>
      </c>
      <c r="C4" s="18">
        <v>-360515474</v>
      </c>
      <c r="D4" s="20" t="e">
        <f>+GETPIVOTDATA("Sum of DEPOSITO",$A$3,"CATEGORIA","FONDOS MUTUOS")-GETPIVOTDATA("Sum of GIROS",$A$3,"CATEGORIA","FONDOS MUTUOS")</f>
        <v>#REF!</v>
      </c>
    </row>
    <row r="5" spans="1:10">
      <c r="A5" s="17" t="s">
        <v>509</v>
      </c>
      <c r="B5" s="18">
        <v>260000000</v>
      </c>
      <c r="C5" s="18">
        <v>-268348443</v>
      </c>
      <c r="D5" s="20" t="e">
        <f>+GETPIVOTDATA("Sum of DEPOSITO",$A$3,"CATEGORIA","GASTOS GENERALES")+GETPIVOTDATA("Sum of GIROS",$A$3,"CATEGORIA","GASTOS GENERALES")</f>
        <v>#REF!</v>
      </c>
    </row>
    <row r="6" spans="1:10">
      <c r="A6" s="17" t="s">
        <v>24</v>
      </c>
      <c r="B6" s="18">
        <v>42000000</v>
      </c>
      <c r="C6" s="18">
        <v>-43751403</v>
      </c>
      <c r="D6" s="20" t="e">
        <f>+GETPIVOTDATA("Sum of DEPOSITO",$A$3,"CATEGORIA","IMPUESTOS")+GETPIVOTDATA("Sum of GIROS",$A$3,"CATEGORIA","IMPUESTOS")</f>
        <v>#REF!</v>
      </c>
    </row>
    <row r="7" spans="1:10">
      <c r="A7" s="17" t="s">
        <v>23</v>
      </c>
      <c r="B7" s="18">
        <v>45000000</v>
      </c>
      <c r="C7" s="18">
        <v>-52500000</v>
      </c>
      <c r="D7" s="20" t="e">
        <f>+GETPIVOTDATA("Sum of DEPOSITO",$A$3,"CATEGORIA","LINEA DE CREDITO")+GETPIVOTDATA("Sum of GIROS",$A$3,"CATEGORIA","LINEA DE CREDITO")</f>
        <v>#REF!</v>
      </c>
    </row>
    <row r="8" spans="1:10">
      <c r="A8" s="17" t="s">
        <v>461</v>
      </c>
      <c r="B8" s="18">
        <v>19000000</v>
      </c>
      <c r="C8" s="18">
        <v>-17500000</v>
      </c>
      <c r="D8" s="20" t="e">
        <f>+GETPIVOTDATA("Sum of DEPOSITO",$A$3,"CATEGORIA","NOTARIA Y CONSERVADOR")+GETPIVOTDATA("Sum of GIROS",$A$3,"CATEGORIA","NOTARIA Y CONSERVADOR")</f>
        <v>#REF!</v>
      </c>
    </row>
    <row r="9" spans="1:10">
      <c r="A9" s="17" t="s">
        <v>463</v>
      </c>
      <c r="B9" s="18">
        <v>26000000</v>
      </c>
      <c r="C9" s="18">
        <v>-35000000</v>
      </c>
      <c r="D9" s="20">
        <f>+GETPIVOTDATA("Sum of DEPOSITO",$A$3,"CATEGORIA","PRESTAMO")+GETPIVOTDATA("Sum of GIROS",$A$3,"CATEGORIA","PRESTAMO")</f>
        <v>-635828070</v>
      </c>
    </row>
    <row r="10" spans="1:10">
      <c r="A10" s="17" t="s">
        <v>462</v>
      </c>
      <c r="B10" s="18">
        <v>5000000</v>
      </c>
      <c r="C10" s="18">
        <v>-5000000</v>
      </c>
      <c r="D10" s="20" t="e">
        <f>+GETPIVOTDATA("Sum of DEPOSITO",$A$3,"CATEGORIA","VENTA")+GETPIVOTDATA("Sum of GIROS",$A$3,"CATEGORIA","VENTA")</f>
        <v>#REF!</v>
      </c>
    </row>
    <row r="11" spans="1:10">
      <c r="A11" s="17" t="s">
        <v>510</v>
      </c>
      <c r="B11" s="18"/>
      <c r="C11" s="18">
        <v>-267782920</v>
      </c>
      <c r="D11" s="20"/>
      <c r="J11" s="19"/>
    </row>
    <row r="12" spans="1:10">
      <c r="A12" s="17" t="s">
        <v>457</v>
      </c>
      <c r="B12" s="18">
        <v>414570170</v>
      </c>
      <c r="C12" s="18">
        <v>-1050398240</v>
      </c>
      <c r="D12" s="20">
        <f>+GETPIVOTDATA("Sum of DEPOSITO",$A$3)+GETPIVOTDATA("Sum of GIROS",$A$3)</f>
        <v>-635828070</v>
      </c>
    </row>
    <row r="22" spans="1:3">
      <c r="A22" s="16" t="s">
        <v>458</v>
      </c>
      <c r="B22" t="s">
        <v>459</v>
      </c>
      <c r="C22" t="s">
        <v>460</v>
      </c>
    </row>
    <row r="23" spans="1:3">
      <c r="A23" s="17" t="s">
        <v>16</v>
      </c>
      <c r="B23" s="23">
        <v>406728467</v>
      </c>
      <c r="C23" s="23">
        <v>-457700000</v>
      </c>
    </row>
    <row r="24" spans="1:3">
      <c r="A24" s="17" t="s">
        <v>9</v>
      </c>
      <c r="B24" s="23">
        <v>790000</v>
      </c>
      <c r="C24" s="23">
        <v>-134066680</v>
      </c>
    </row>
    <row r="25" spans="1:3">
      <c r="A25" s="17" t="s">
        <v>14</v>
      </c>
      <c r="B25" s="23"/>
      <c r="C25" s="23">
        <v>-8103027</v>
      </c>
    </row>
    <row r="26" spans="1:3">
      <c r="A26" s="17" t="s">
        <v>18</v>
      </c>
      <c r="B26" s="23">
        <v>999927</v>
      </c>
      <c r="C26" s="23">
        <v>-1104703</v>
      </c>
    </row>
    <row r="27" spans="1:3">
      <c r="A27" s="17" t="s">
        <v>10</v>
      </c>
      <c r="B27" s="23"/>
      <c r="C27" s="23">
        <v>-2761500</v>
      </c>
    </row>
    <row r="28" spans="1:3">
      <c r="A28" s="17" t="s">
        <v>20</v>
      </c>
      <c r="B28" s="23">
        <v>414570170</v>
      </c>
      <c r="C28" s="23">
        <v>-1050398240</v>
      </c>
    </row>
    <row r="29" spans="1:3">
      <c r="A29" s="17" t="s">
        <v>12</v>
      </c>
      <c r="B29" s="23">
        <v>832867229</v>
      </c>
      <c r="C29" s="23">
        <v>-1044500</v>
      </c>
    </row>
    <row r="30" spans="1:3">
      <c r="A30" s="17" t="s">
        <v>456</v>
      </c>
      <c r="B30" s="23"/>
      <c r="C30" s="23"/>
    </row>
    <row r="31" spans="1:3">
      <c r="A31" s="17" t="s">
        <v>457</v>
      </c>
      <c r="B31" s="23">
        <v>1655955793</v>
      </c>
      <c r="C31" s="23">
        <v>-1655178650</v>
      </c>
    </row>
    <row r="35" spans="1:3">
      <c r="A35" s="16" t="s">
        <v>7</v>
      </c>
      <c r="B35" t="s">
        <v>513</v>
      </c>
    </row>
    <row r="37" spans="1:3">
      <c r="A37" s="16" t="s">
        <v>458</v>
      </c>
      <c r="B37" t="s">
        <v>459</v>
      </c>
      <c r="C37" t="s">
        <v>460</v>
      </c>
    </row>
    <row r="38" spans="1:3">
      <c r="A38" s="17" t="s">
        <v>16</v>
      </c>
      <c r="B38" s="23">
        <v>76569257</v>
      </c>
      <c r="C38" s="23">
        <v>-201600000</v>
      </c>
    </row>
    <row r="39" spans="1:3">
      <c r="A39" s="17" t="s">
        <v>9</v>
      </c>
      <c r="B39" s="23">
        <v>155500</v>
      </c>
      <c r="C39" s="23">
        <v>-30944611</v>
      </c>
    </row>
    <row r="40" spans="1:3">
      <c r="A40" s="17" t="s">
        <v>14</v>
      </c>
      <c r="B40" s="23"/>
      <c r="C40" s="23">
        <v>-1246007</v>
      </c>
    </row>
    <row r="41" spans="1:3">
      <c r="A41" s="17" t="s">
        <v>18</v>
      </c>
      <c r="B41" s="23"/>
      <c r="C41" s="23">
        <v>-12</v>
      </c>
    </row>
    <row r="42" spans="1:3">
      <c r="A42" s="17" t="s">
        <v>10</v>
      </c>
      <c r="B42" s="23"/>
      <c r="C42" s="23">
        <v>-370500</v>
      </c>
    </row>
    <row r="43" spans="1:3">
      <c r="A43" s="17" t="s">
        <v>20</v>
      </c>
      <c r="B43" s="23"/>
      <c r="C43" s="23">
        <v>-162099846</v>
      </c>
    </row>
    <row r="44" spans="1:3">
      <c r="A44" s="17" t="s">
        <v>12</v>
      </c>
      <c r="B44" s="23">
        <v>300294639</v>
      </c>
      <c r="C44" s="23">
        <v>-244500</v>
      </c>
    </row>
    <row r="45" spans="1:3">
      <c r="A45" s="17" t="s">
        <v>457</v>
      </c>
      <c r="B45" s="23">
        <v>377019396</v>
      </c>
      <c r="C45" s="23">
        <v>-396505476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29"/>
  <sheetViews>
    <sheetView tabSelected="1" topLeftCell="B491" workbookViewId="0">
      <selection activeCell="D500" sqref="D500"/>
    </sheetView>
  </sheetViews>
  <sheetFormatPr defaultColWidth="9.109375" defaultRowHeight="14.4"/>
  <cols>
    <col min="1" max="1" width="12" style="2" customWidth="1"/>
    <col min="2" max="2" width="43.88671875" bestFit="1" customWidth="1"/>
    <col min="3" max="3" width="18.33203125" bestFit="1" customWidth="1"/>
    <col min="4" max="4" width="18.33203125" customWidth="1"/>
    <col min="5" max="5" width="17.33203125" customWidth="1"/>
    <col min="6" max="8" width="17.33203125" style="1" customWidth="1"/>
    <col min="9" max="9" width="56.6640625" customWidth="1"/>
  </cols>
  <sheetData>
    <row r="1" spans="1:28" s="15" customFormat="1" ht="15" thickBot="1">
      <c r="A1" s="11" t="s">
        <v>7</v>
      </c>
      <c r="B1" s="12" t="s">
        <v>0</v>
      </c>
      <c r="C1" s="12" t="s">
        <v>1</v>
      </c>
      <c r="D1" s="12" t="s">
        <v>162</v>
      </c>
      <c r="E1" s="12" t="s">
        <v>2</v>
      </c>
      <c r="F1" s="13" t="s">
        <v>3</v>
      </c>
      <c r="G1" s="13" t="s">
        <v>4</v>
      </c>
      <c r="H1" s="13" t="s">
        <v>5</v>
      </c>
      <c r="I1" s="12" t="s">
        <v>6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>
      <c r="A2" s="2">
        <v>45658</v>
      </c>
      <c r="B2" t="s">
        <v>8</v>
      </c>
      <c r="F2" s="1">
        <v>702601</v>
      </c>
    </row>
    <row r="3" spans="1:28">
      <c r="A3" s="2">
        <v>45659</v>
      </c>
      <c r="B3" t="s">
        <v>35</v>
      </c>
      <c r="C3" t="s">
        <v>9</v>
      </c>
      <c r="F3" s="1">
        <f>+F2+G2+H2</f>
        <v>702601</v>
      </c>
      <c r="H3" s="1">
        <v>-700000</v>
      </c>
    </row>
    <row r="4" spans="1:28">
      <c r="A4" s="2">
        <v>45665</v>
      </c>
      <c r="B4" t="s">
        <v>36</v>
      </c>
      <c r="C4" t="s">
        <v>20</v>
      </c>
      <c r="E4" t="s">
        <v>23</v>
      </c>
      <c r="F4" s="1">
        <f t="shared" ref="F4:F36" si="0">+F3+G3+H3</f>
        <v>2601</v>
      </c>
      <c r="G4" s="1">
        <v>5000000</v>
      </c>
    </row>
    <row r="5" spans="1:28">
      <c r="A5" s="2">
        <v>45665</v>
      </c>
      <c r="B5" t="s">
        <v>35</v>
      </c>
      <c r="C5" t="s">
        <v>9</v>
      </c>
      <c r="F5" s="1">
        <f t="shared" si="0"/>
        <v>5002601</v>
      </c>
      <c r="H5" s="1">
        <v>-1627022</v>
      </c>
      <c r="I5" t="s">
        <v>61</v>
      </c>
    </row>
    <row r="6" spans="1:28">
      <c r="A6" s="2">
        <v>45665</v>
      </c>
      <c r="B6" t="s">
        <v>35</v>
      </c>
      <c r="C6" t="s">
        <v>9</v>
      </c>
      <c r="F6" s="1">
        <f t="shared" si="0"/>
        <v>3375579</v>
      </c>
      <c r="H6" s="1">
        <v>-1351157</v>
      </c>
      <c r="I6" t="s">
        <v>62</v>
      </c>
    </row>
    <row r="7" spans="1:28">
      <c r="A7" s="2">
        <v>45665</v>
      </c>
      <c r="B7" t="s">
        <v>37</v>
      </c>
      <c r="C7" t="s">
        <v>9</v>
      </c>
      <c r="F7" s="1">
        <f t="shared" si="0"/>
        <v>2024422</v>
      </c>
      <c r="H7" s="1">
        <v>-1309000</v>
      </c>
      <c r="I7" t="s">
        <v>57</v>
      </c>
    </row>
    <row r="8" spans="1:28">
      <c r="A8" s="2">
        <v>45667</v>
      </c>
      <c r="B8" t="s">
        <v>38</v>
      </c>
      <c r="C8" t="s">
        <v>20</v>
      </c>
      <c r="E8" t="s">
        <v>461</v>
      </c>
      <c r="F8" s="1">
        <f t="shared" si="0"/>
        <v>715422</v>
      </c>
      <c r="G8" s="1">
        <v>350000</v>
      </c>
    </row>
    <row r="9" spans="1:28">
      <c r="A9" s="2">
        <v>45667</v>
      </c>
      <c r="B9" t="s">
        <v>36</v>
      </c>
      <c r="C9" t="s">
        <v>20</v>
      </c>
      <c r="E9" t="s">
        <v>23</v>
      </c>
      <c r="F9" s="1">
        <f t="shared" si="0"/>
        <v>1065422</v>
      </c>
      <c r="G9" s="1">
        <v>2500000</v>
      </c>
    </row>
    <row r="10" spans="1:28">
      <c r="A10" s="2">
        <v>45667</v>
      </c>
      <c r="B10" t="s">
        <v>38</v>
      </c>
      <c r="C10" t="s">
        <v>20</v>
      </c>
      <c r="E10" t="s">
        <v>461</v>
      </c>
      <c r="F10" s="1">
        <f t="shared" si="0"/>
        <v>3565422</v>
      </c>
      <c r="G10" s="1">
        <v>2150000</v>
      </c>
    </row>
    <row r="11" spans="1:28">
      <c r="A11" s="2">
        <v>45670</v>
      </c>
      <c r="B11" t="s">
        <v>39</v>
      </c>
      <c r="C11" t="s">
        <v>12</v>
      </c>
      <c r="F11" s="1">
        <f t="shared" si="0"/>
        <v>5715422</v>
      </c>
      <c r="G11" s="1">
        <v>200000</v>
      </c>
      <c r="I11" t="s">
        <v>56</v>
      </c>
    </row>
    <row r="12" spans="1:28">
      <c r="A12" s="2">
        <v>45670</v>
      </c>
      <c r="B12" t="s">
        <v>40</v>
      </c>
      <c r="C12" t="s">
        <v>10</v>
      </c>
      <c r="F12" s="1">
        <f t="shared" si="0"/>
        <v>5915422</v>
      </c>
      <c r="H12" s="1">
        <v>-177000</v>
      </c>
      <c r="I12" t="s">
        <v>54</v>
      </c>
    </row>
    <row r="13" spans="1:28">
      <c r="A13" s="2">
        <v>45670</v>
      </c>
      <c r="B13" t="s">
        <v>40</v>
      </c>
      <c r="C13" t="s">
        <v>10</v>
      </c>
      <c r="F13" s="1">
        <f t="shared" si="0"/>
        <v>5738422</v>
      </c>
      <c r="H13" s="1">
        <v>-177000</v>
      </c>
      <c r="I13" t="s">
        <v>55</v>
      </c>
    </row>
    <row r="14" spans="1:28">
      <c r="A14" s="2">
        <v>45670</v>
      </c>
      <c r="B14" t="s">
        <v>41</v>
      </c>
      <c r="C14" t="s">
        <v>9</v>
      </c>
      <c r="F14" s="1">
        <f t="shared" si="0"/>
        <v>5561422</v>
      </c>
      <c r="H14" s="1">
        <v>-100000</v>
      </c>
      <c r="I14" t="s">
        <v>53</v>
      </c>
    </row>
    <row r="15" spans="1:28">
      <c r="A15" s="2">
        <v>45670</v>
      </c>
      <c r="B15" t="s">
        <v>42</v>
      </c>
      <c r="C15" t="s">
        <v>10</v>
      </c>
      <c r="F15" s="1">
        <f t="shared" si="0"/>
        <v>5461422</v>
      </c>
      <c r="H15" s="1">
        <v>-80000</v>
      </c>
    </row>
    <row r="16" spans="1:28">
      <c r="A16" s="2">
        <v>45671</v>
      </c>
      <c r="B16" t="s">
        <v>43</v>
      </c>
      <c r="C16" t="s">
        <v>20</v>
      </c>
      <c r="E16" t="s">
        <v>463</v>
      </c>
      <c r="F16" s="1">
        <f t="shared" si="0"/>
        <v>5381422</v>
      </c>
      <c r="G16" s="1">
        <v>5000000</v>
      </c>
    </row>
    <row r="17" spans="1:9">
      <c r="A17" s="2">
        <v>45671</v>
      </c>
      <c r="B17" t="s">
        <v>44</v>
      </c>
      <c r="C17" t="s">
        <v>9</v>
      </c>
      <c r="F17" s="1">
        <f t="shared" si="0"/>
        <v>10381422</v>
      </c>
      <c r="H17" s="1">
        <v>-5000000</v>
      </c>
      <c r="I17" t="s">
        <v>63</v>
      </c>
    </row>
    <row r="18" spans="1:9">
      <c r="A18" s="2">
        <v>45674</v>
      </c>
      <c r="B18" t="s">
        <v>45</v>
      </c>
      <c r="C18" t="s">
        <v>12</v>
      </c>
      <c r="F18" s="1">
        <f t="shared" si="0"/>
        <v>5381422</v>
      </c>
      <c r="G18" s="1">
        <v>200000</v>
      </c>
      <c r="I18" t="s">
        <v>80</v>
      </c>
    </row>
    <row r="19" spans="1:9">
      <c r="A19" s="2">
        <v>45674</v>
      </c>
      <c r="B19" t="s">
        <v>46</v>
      </c>
      <c r="C19" t="s">
        <v>12</v>
      </c>
      <c r="F19" s="1">
        <f t="shared" si="0"/>
        <v>5581422</v>
      </c>
      <c r="G19" s="1">
        <v>200000</v>
      </c>
      <c r="I19" t="s">
        <v>79</v>
      </c>
    </row>
    <row r="20" spans="1:9">
      <c r="A20" s="2">
        <v>45677</v>
      </c>
      <c r="B20" t="s">
        <v>44</v>
      </c>
      <c r="C20" t="s">
        <v>9</v>
      </c>
      <c r="F20" s="1">
        <f t="shared" si="0"/>
        <v>5781422</v>
      </c>
      <c r="H20" s="1">
        <v>-5000000</v>
      </c>
      <c r="I20" t="s">
        <v>64</v>
      </c>
    </row>
    <row r="21" spans="1:9">
      <c r="A21" s="2">
        <v>45677</v>
      </c>
      <c r="B21" t="s">
        <v>47</v>
      </c>
      <c r="C21" t="s">
        <v>12</v>
      </c>
      <c r="F21" s="1">
        <f t="shared" si="0"/>
        <v>781422</v>
      </c>
      <c r="G21" s="1">
        <v>200000</v>
      </c>
      <c r="I21" t="s">
        <v>78</v>
      </c>
    </row>
    <row r="22" spans="1:9">
      <c r="A22" s="2">
        <v>45678</v>
      </c>
      <c r="B22" t="s">
        <v>36</v>
      </c>
      <c r="C22" t="s">
        <v>20</v>
      </c>
      <c r="E22" t="s">
        <v>23</v>
      </c>
      <c r="F22" s="1">
        <f t="shared" si="0"/>
        <v>981422</v>
      </c>
      <c r="G22" s="1">
        <v>5000000</v>
      </c>
    </row>
    <row r="23" spans="1:9">
      <c r="A23" s="2">
        <v>45678</v>
      </c>
      <c r="B23" t="s">
        <v>35</v>
      </c>
      <c r="C23" t="s">
        <v>9</v>
      </c>
      <c r="F23" s="1">
        <f t="shared" si="0"/>
        <v>5981422</v>
      </c>
      <c r="H23" s="1">
        <v>-2159683</v>
      </c>
      <c r="I23" t="s">
        <v>65</v>
      </c>
    </row>
    <row r="24" spans="1:9">
      <c r="A24" s="2">
        <v>45678</v>
      </c>
      <c r="B24" t="s">
        <v>35</v>
      </c>
      <c r="C24" t="s">
        <v>9</v>
      </c>
      <c r="F24" s="1">
        <f t="shared" si="0"/>
        <v>3821739</v>
      </c>
      <c r="H24" s="1">
        <v>-3610318</v>
      </c>
      <c r="I24" t="s">
        <v>66</v>
      </c>
    </row>
    <row r="25" spans="1:9">
      <c r="A25" s="2">
        <v>45678</v>
      </c>
      <c r="B25" t="s">
        <v>38</v>
      </c>
      <c r="C25" t="s">
        <v>20</v>
      </c>
      <c r="E25" t="s">
        <v>461</v>
      </c>
      <c r="F25" s="1">
        <f t="shared" si="0"/>
        <v>211421</v>
      </c>
      <c r="G25" s="1">
        <v>2500000</v>
      </c>
    </row>
    <row r="26" spans="1:9">
      <c r="A26" s="2">
        <v>45678</v>
      </c>
      <c r="B26" t="s">
        <v>48</v>
      </c>
      <c r="C26" t="s">
        <v>20</v>
      </c>
      <c r="E26" t="s">
        <v>463</v>
      </c>
      <c r="F26" s="1">
        <f t="shared" si="0"/>
        <v>2711421</v>
      </c>
      <c r="G26" s="1">
        <v>5000000</v>
      </c>
    </row>
    <row r="27" spans="1:9">
      <c r="A27" s="2">
        <v>45679</v>
      </c>
      <c r="B27" t="s">
        <v>42</v>
      </c>
      <c r="C27" t="s">
        <v>10</v>
      </c>
      <c r="F27" s="1">
        <f t="shared" si="0"/>
        <v>7711421</v>
      </c>
      <c r="H27" s="1">
        <v>-70000</v>
      </c>
      <c r="I27" t="s">
        <v>58</v>
      </c>
    </row>
    <row r="28" spans="1:9">
      <c r="A28" s="2">
        <v>45679</v>
      </c>
      <c r="B28" t="s">
        <v>36</v>
      </c>
      <c r="C28" t="s">
        <v>20</v>
      </c>
      <c r="E28" t="s">
        <v>23</v>
      </c>
      <c r="F28" s="1">
        <f t="shared" si="0"/>
        <v>7641421</v>
      </c>
      <c r="G28" s="1">
        <v>2500000</v>
      </c>
    </row>
    <row r="29" spans="1:9">
      <c r="A29" s="2">
        <v>45681</v>
      </c>
      <c r="B29" t="s">
        <v>49</v>
      </c>
      <c r="C29" t="s">
        <v>12</v>
      </c>
      <c r="F29" s="1">
        <f t="shared" si="0"/>
        <v>10141421</v>
      </c>
      <c r="G29" s="1">
        <v>200000</v>
      </c>
      <c r="I29" t="s">
        <v>59</v>
      </c>
    </row>
    <row r="30" spans="1:9">
      <c r="A30" s="2">
        <v>45685</v>
      </c>
      <c r="B30" t="s">
        <v>36</v>
      </c>
      <c r="C30" t="s">
        <v>20</v>
      </c>
      <c r="E30" t="s">
        <v>23</v>
      </c>
      <c r="F30" s="1">
        <f t="shared" si="0"/>
        <v>10341421</v>
      </c>
      <c r="G30" s="1">
        <v>5000000</v>
      </c>
    </row>
    <row r="31" spans="1:9">
      <c r="A31" s="2">
        <v>45685</v>
      </c>
      <c r="B31" t="s">
        <v>50</v>
      </c>
      <c r="C31" t="s">
        <v>12</v>
      </c>
      <c r="F31" s="1">
        <f t="shared" si="0"/>
        <v>15341421</v>
      </c>
      <c r="G31" s="1">
        <v>200000</v>
      </c>
      <c r="I31" t="s">
        <v>60</v>
      </c>
    </row>
    <row r="32" spans="1:9">
      <c r="A32" s="2">
        <v>45685</v>
      </c>
      <c r="B32" t="s">
        <v>51</v>
      </c>
      <c r="C32" t="s">
        <v>9</v>
      </c>
      <c r="F32" s="1">
        <f t="shared" si="0"/>
        <v>15541421</v>
      </c>
      <c r="H32" s="1">
        <v>-695436</v>
      </c>
      <c r="I32" t="s">
        <v>67</v>
      </c>
    </row>
    <row r="33" spans="1:9">
      <c r="A33" s="2">
        <v>45685</v>
      </c>
      <c r="B33" t="s">
        <v>36</v>
      </c>
      <c r="C33" t="s">
        <v>20</v>
      </c>
      <c r="E33" t="s">
        <v>23</v>
      </c>
      <c r="F33" s="1">
        <f t="shared" si="0"/>
        <v>14845985</v>
      </c>
      <c r="G33" s="1">
        <v>5000000</v>
      </c>
    </row>
    <row r="34" spans="1:9">
      <c r="A34" s="2">
        <v>45686</v>
      </c>
      <c r="B34" t="s">
        <v>36</v>
      </c>
      <c r="C34" t="s">
        <v>20</v>
      </c>
      <c r="E34" t="s">
        <v>23</v>
      </c>
      <c r="F34" s="1">
        <f t="shared" si="0"/>
        <v>19845985</v>
      </c>
      <c r="G34" s="1">
        <v>5000000</v>
      </c>
    </row>
    <row r="35" spans="1:9">
      <c r="A35" s="2">
        <v>45687</v>
      </c>
      <c r="B35" t="s">
        <v>52</v>
      </c>
      <c r="C35" t="s">
        <v>9</v>
      </c>
      <c r="F35" s="1">
        <f t="shared" si="0"/>
        <v>24845985</v>
      </c>
      <c r="H35" s="1">
        <v>-574395</v>
      </c>
    </row>
    <row r="36" spans="1:9">
      <c r="A36" s="2">
        <v>45688</v>
      </c>
      <c r="B36" t="s">
        <v>36</v>
      </c>
      <c r="C36" t="s">
        <v>20</v>
      </c>
      <c r="E36" t="s">
        <v>23</v>
      </c>
      <c r="F36" s="1">
        <f t="shared" si="0"/>
        <v>24271590</v>
      </c>
      <c r="G36" s="1">
        <v>5000000</v>
      </c>
    </row>
    <row r="37" spans="1:9">
      <c r="A37" s="2">
        <v>45688</v>
      </c>
      <c r="B37" t="s">
        <v>68</v>
      </c>
      <c r="C37" t="s">
        <v>12</v>
      </c>
      <c r="F37" s="1">
        <f>+F36+G36+H36</f>
        <v>29271590</v>
      </c>
      <c r="G37" s="1">
        <v>200000</v>
      </c>
      <c r="I37" t="s">
        <v>77</v>
      </c>
    </row>
    <row r="38" spans="1:9">
      <c r="A38" s="2">
        <v>45688</v>
      </c>
      <c r="B38" t="s">
        <v>69</v>
      </c>
      <c r="C38" t="s">
        <v>12</v>
      </c>
      <c r="F38" s="1">
        <f t="shared" ref="F38:F101" si="1">+F37+G37+H37</f>
        <v>29471590</v>
      </c>
      <c r="G38" s="1">
        <v>250000</v>
      </c>
      <c r="I38" t="s">
        <v>70</v>
      </c>
    </row>
    <row r="39" spans="1:9">
      <c r="A39" s="2">
        <v>45688</v>
      </c>
      <c r="B39" t="s">
        <v>36</v>
      </c>
      <c r="C39" t="s">
        <v>20</v>
      </c>
      <c r="E39" t="s">
        <v>23</v>
      </c>
      <c r="F39" s="1">
        <f t="shared" si="1"/>
        <v>29721590</v>
      </c>
      <c r="G39" s="1">
        <v>5000000</v>
      </c>
    </row>
    <row r="40" spans="1:9">
      <c r="A40" s="2">
        <v>45688</v>
      </c>
      <c r="B40" t="s">
        <v>35</v>
      </c>
      <c r="C40" t="s">
        <v>9</v>
      </c>
      <c r="F40" s="1">
        <f t="shared" si="1"/>
        <v>34721590</v>
      </c>
      <c r="H40" s="1">
        <v>-3552557</v>
      </c>
      <c r="I40" t="s">
        <v>71</v>
      </c>
    </row>
    <row r="41" spans="1:9">
      <c r="A41" s="2">
        <v>45688</v>
      </c>
      <c r="B41" t="s">
        <v>43</v>
      </c>
      <c r="C41" t="s">
        <v>20</v>
      </c>
      <c r="E41" t="s">
        <v>463</v>
      </c>
      <c r="F41" s="1">
        <f t="shared" si="1"/>
        <v>31169033</v>
      </c>
      <c r="G41" s="1">
        <v>16000000</v>
      </c>
    </row>
    <row r="42" spans="1:9">
      <c r="A42" s="2">
        <v>45691</v>
      </c>
      <c r="B42" t="s">
        <v>72</v>
      </c>
      <c r="C42" t="s">
        <v>20</v>
      </c>
      <c r="E42" t="s">
        <v>461</v>
      </c>
      <c r="F42" s="1">
        <f t="shared" si="1"/>
        <v>47169033</v>
      </c>
      <c r="G42" s="1">
        <v>5000000</v>
      </c>
    </row>
    <row r="43" spans="1:9">
      <c r="A43" s="2">
        <v>45691</v>
      </c>
      <c r="B43" t="s">
        <v>38</v>
      </c>
      <c r="C43" t="s">
        <v>20</v>
      </c>
      <c r="E43" t="s">
        <v>461</v>
      </c>
      <c r="F43" s="1">
        <f t="shared" si="1"/>
        <v>52169033</v>
      </c>
      <c r="G43" s="1">
        <v>5000000</v>
      </c>
    </row>
    <row r="44" spans="1:9">
      <c r="A44" s="2">
        <v>45691</v>
      </c>
      <c r="B44" t="s">
        <v>69</v>
      </c>
      <c r="C44" t="s">
        <v>12</v>
      </c>
      <c r="F44" s="1">
        <f t="shared" si="1"/>
        <v>57169033</v>
      </c>
      <c r="G44" s="1">
        <v>350000</v>
      </c>
      <c r="I44" t="s">
        <v>76</v>
      </c>
    </row>
    <row r="45" spans="1:9">
      <c r="A45" s="2">
        <v>45691</v>
      </c>
      <c r="B45" t="s">
        <v>36</v>
      </c>
      <c r="C45" t="s">
        <v>20</v>
      </c>
      <c r="E45" t="s">
        <v>23</v>
      </c>
      <c r="F45" s="1">
        <f t="shared" si="1"/>
        <v>57519033</v>
      </c>
      <c r="G45" s="1">
        <v>5000000</v>
      </c>
    </row>
    <row r="46" spans="1:9">
      <c r="A46" s="2">
        <v>45691</v>
      </c>
      <c r="B46" t="s">
        <v>73</v>
      </c>
      <c r="C46" t="s">
        <v>12</v>
      </c>
      <c r="F46" s="1">
        <f t="shared" si="1"/>
        <v>62519033</v>
      </c>
      <c r="G46" s="1">
        <v>200000</v>
      </c>
    </row>
    <row r="47" spans="1:9">
      <c r="A47" s="2">
        <v>45691</v>
      </c>
      <c r="B47" t="s">
        <v>74</v>
      </c>
      <c r="C47" t="s">
        <v>12</v>
      </c>
      <c r="F47" s="1">
        <f t="shared" si="1"/>
        <v>62719033</v>
      </c>
      <c r="H47" s="1">
        <v>-200000</v>
      </c>
      <c r="I47" t="s">
        <v>81</v>
      </c>
    </row>
    <row r="48" spans="1:9">
      <c r="A48" s="2">
        <v>45691</v>
      </c>
      <c r="B48" t="s">
        <v>38</v>
      </c>
      <c r="C48" t="s">
        <v>20</v>
      </c>
      <c r="E48" t="s">
        <v>461</v>
      </c>
      <c r="F48" s="1">
        <f t="shared" si="1"/>
        <v>62519033</v>
      </c>
      <c r="G48" s="1">
        <v>4000000</v>
      </c>
    </row>
    <row r="49" spans="1:9">
      <c r="A49" s="2">
        <v>45691</v>
      </c>
      <c r="B49" t="s">
        <v>44</v>
      </c>
      <c r="C49" t="s">
        <v>9</v>
      </c>
      <c r="F49" s="1">
        <f t="shared" si="1"/>
        <v>66519033</v>
      </c>
      <c r="H49" s="1">
        <v>-11061</v>
      </c>
      <c r="I49" t="s">
        <v>75</v>
      </c>
    </row>
    <row r="50" spans="1:9">
      <c r="A50" s="2">
        <v>45694</v>
      </c>
      <c r="B50" t="s">
        <v>82</v>
      </c>
      <c r="C50" t="s">
        <v>12</v>
      </c>
      <c r="F50" s="1">
        <f t="shared" si="1"/>
        <v>66507972</v>
      </c>
      <c r="G50" s="1">
        <v>200000</v>
      </c>
      <c r="I50" t="s">
        <v>83</v>
      </c>
    </row>
    <row r="51" spans="1:9">
      <c r="A51" s="2">
        <v>45694</v>
      </c>
      <c r="B51" t="s">
        <v>84</v>
      </c>
      <c r="C51" t="s">
        <v>20</v>
      </c>
      <c r="E51" t="s">
        <v>126</v>
      </c>
      <c r="F51" s="1">
        <f t="shared" si="1"/>
        <v>66707972</v>
      </c>
      <c r="H51" s="1">
        <v>-59739613</v>
      </c>
      <c r="I51" t="s">
        <v>129</v>
      </c>
    </row>
    <row r="52" spans="1:9">
      <c r="A52" s="2">
        <v>45694</v>
      </c>
      <c r="B52" t="s">
        <v>85</v>
      </c>
      <c r="C52" t="s">
        <v>9</v>
      </c>
      <c r="F52" s="1">
        <f t="shared" si="1"/>
        <v>6968359</v>
      </c>
      <c r="H52" s="1">
        <v>-19859</v>
      </c>
    </row>
    <row r="53" spans="1:9">
      <c r="A53" s="2">
        <v>45698</v>
      </c>
      <c r="B53" t="s">
        <v>86</v>
      </c>
      <c r="C53" t="s">
        <v>12</v>
      </c>
      <c r="F53" s="1">
        <f t="shared" si="1"/>
        <v>6948500</v>
      </c>
      <c r="G53" s="1">
        <v>200000</v>
      </c>
      <c r="I53" t="s">
        <v>87</v>
      </c>
    </row>
    <row r="54" spans="1:9">
      <c r="A54" s="2">
        <v>45700</v>
      </c>
      <c r="B54" t="s">
        <v>88</v>
      </c>
      <c r="C54" t="s">
        <v>12</v>
      </c>
      <c r="F54" s="1">
        <f t="shared" si="1"/>
        <v>7148500</v>
      </c>
      <c r="G54" s="1">
        <v>200000</v>
      </c>
      <c r="I54" t="s">
        <v>89</v>
      </c>
    </row>
    <row r="55" spans="1:9">
      <c r="A55" s="2">
        <v>45700</v>
      </c>
      <c r="B55" t="s">
        <v>90</v>
      </c>
      <c r="C55" t="s">
        <v>12</v>
      </c>
      <c r="F55" s="1">
        <f t="shared" si="1"/>
        <v>7348500</v>
      </c>
      <c r="G55" s="1">
        <v>200000</v>
      </c>
      <c r="I55" t="s">
        <v>89</v>
      </c>
    </row>
    <row r="56" spans="1:9">
      <c r="A56" s="2">
        <v>45700</v>
      </c>
      <c r="B56" t="s">
        <v>91</v>
      </c>
      <c r="C56" t="s">
        <v>12</v>
      </c>
      <c r="D56" t="s">
        <v>194</v>
      </c>
      <c r="F56" s="1">
        <f t="shared" si="1"/>
        <v>7548500</v>
      </c>
      <c r="G56" s="1">
        <v>200000</v>
      </c>
      <c r="I56" t="s">
        <v>92</v>
      </c>
    </row>
    <row r="57" spans="1:9">
      <c r="A57" s="2">
        <v>45700</v>
      </c>
      <c r="B57" t="s">
        <v>93</v>
      </c>
      <c r="C57" t="s">
        <v>12</v>
      </c>
      <c r="F57" s="1">
        <f t="shared" si="1"/>
        <v>7748500</v>
      </c>
      <c r="H57" s="1">
        <v>-200000</v>
      </c>
      <c r="I57" t="s">
        <v>94</v>
      </c>
    </row>
    <row r="58" spans="1:9">
      <c r="A58" s="2">
        <v>45700</v>
      </c>
      <c r="B58" t="s">
        <v>73</v>
      </c>
      <c r="C58" t="s">
        <v>12</v>
      </c>
      <c r="F58" s="1">
        <f t="shared" si="1"/>
        <v>7548500</v>
      </c>
      <c r="G58" s="1">
        <v>200000</v>
      </c>
      <c r="I58" t="s">
        <v>56</v>
      </c>
    </row>
    <row r="59" spans="1:9">
      <c r="A59" s="2">
        <v>45700</v>
      </c>
      <c r="B59" t="s">
        <v>95</v>
      </c>
      <c r="C59" t="s">
        <v>12</v>
      </c>
      <c r="F59" s="1">
        <f t="shared" si="1"/>
        <v>7748500</v>
      </c>
      <c r="G59" s="1">
        <v>200000</v>
      </c>
      <c r="I59" t="s">
        <v>96</v>
      </c>
    </row>
    <row r="60" spans="1:9">
      <c r="A60" s="2">
        <v>45702</v>
      </c>
      <c r="B60" t="s">
        <v>90</v>
      </c>
      <c r="C60" t="s">
        <v>12</v>
      </c>
      <c r="F60" s="1">
        <f t="shared" si="1"/>
        <v>7948500</v>
      </c>
      <c r="G60" s="1">
        <v>200000</v>
      </c>
      <c r="I60" t="s">
        <v>97</v>
      </c>
    </row>
    <row r="61" spans="1:9">
      <c r="A61" s="2">
        <v>45702</v>
      </c>
      <c r="B61" t="s">
        <v>98</v>
      </c>
      <c r="C61" t="s">
        <v>12</v>
      </c>
      <c r="F61" s="1">
        <f t="shared" si="1"/>
        <v>8148500</v>
      </c>
      <c r="G61" s="1">
        <v>200000</v>
      </c>
      <c r="I61" t="s">
        <v>99</v>
      </c>
    </row>
    <row r="62" spans="1:9">
      <c r="A62" s="2">
        <v>45705</v>
      </c>
      <c r="B62" t="s">
        <v>41</v>
      </c>
      <c r="C62" t="s">
        <v>9</v>
      </c>
      <c r="F62" s="1">
        <f t="shared" si="1"/>
        <v>8348500</v>
      </c>
      <c r="H62" s="1">
        <v>-100000</v>
      </c>
      <c r="I62" t="s">
        <v>53</v>
      </c>
    </row>
    <row r="63" spans="1:9">
      <c r="A63" s="2">
        <v>45705</v>
      </c>
      <c r="B63" t="s">
        <v>100</v>
      </c>
      <c r="C63" t="s">
        <v>12</v>
      </c>
      <c r="F63" s="1">
        <f t="shared" si="1"/>
        <v>8248500</v>
      </c>
      <c r="G63" s="1">
        <v>200000</v>
      </c>
      <c r="I63" t="s">
        <v>101</v>
      </c>
    </row>
    <row r="64" spans="1:9">
      <c r="A64" s="2">
        <v>45705</v>
      </c>
      <c r="B64" t="s">
        <v>102</v>
      </c>
      <c r="C64" t="s">
        <v>12</v>
      </c>
      <c r="F64" s="1">
        <f t="shared" si="1"/>
        <v>8448500</v>
      </c>
      <c r="G64" s="1">
        <v>200000</v>
      </c>
      <c r="I64" t="s">
        <v>103</v>
      </c>
    </row>
    <row r="65" spans="1:9">
      <c r="A65" s="2">
        <v>45705</v>
      </c>
      <c r="B65" t="s">
        <v>104</v>
      </c>
      <c r="C65" t="s">
        <v>12</v>
      </c>
      <c r="F65" s="1">
        <f t="shared" si="1"/>
        <v>8648500</v>
      </c>
      <c r="G65" s="1">
        <v>200000</v>
      </c>
      <c r="I65" t="s">
        <v>105</v>
      </c>
    </row>
    <row r="66" spans="1:9">
      <c r="A66" s="2">
        <v>45706</v>
      </c>
      <c r="B66" t="s">
        <v>40</v>
      </c>
      <c r="C66" t="s">
        <v>10</v>
      </c>
      <c r="F66" s="1">
        <f t="shared" si="1"/>
        <v>8848500</v>
      </c>
      <c r="H66" s="1">
        <v>-40000</v>
      </c>
      <c r="I66" t="s">
        <v>106</v>
      </c>
    </row>
    <row r="67" spans="1:9">
      <c r="A67" s="2">
        <v>45706</v>
      </c>
      <c r="B67" t="s">
        <v>107</v>
      </c>
      <c r="C67" t="s">
        <v>9</v>
      </c>
      <c r="F67" s="1">
        <f t="shared" si="1"/>
        <v>8808500</v>
      </c>
      <c r="H67" s="1">
        <v>-102492</v>
      </c>
      <c r="I67" t="s">
        <v>317</v>
      </c>
    </row>
    <row r="68" spans="1:9">
      <c r="A68" s="2">
        <v>45707</v>
      </c>
      <c r="B68" t="s">
        <v>35</v>
      </c>
      <c r="C68" t="s">
        <v>9</v>
      </c>
      <c r="F68" s="1">
        <f t="shared" si="1"/>
        <v>8706008</v>
      </c>
      <c r="H68" s="1">
        <v>-1322892</v>
      </c>
    </row>
    <row r="69" spans="1:9">
      <c r="A69" s="2">
        <v>45707</v>
      </c>
      <c r="B69" t="s">
        <v>35</v>
      </c>
      <c r="C69" t="s">
        <v>9</v>
      </c>
      <c r="F69" s="1">
        <f t="shared" si="1"/>
        <v>7383116</v>
      </c>
      <c r="H69" s="1">
        <v>-2159683</v>
      </c>
    </row>
    <row r="70" spans="1:9">
      <c r="A70" s="2">
        <v>45707</v>
      </c>
      <c r="B70" t="s">
        <v>35</v>
      </c>
      <c r="C70" t="s">
        <v>9</v>
      </c>
      <c r="F70" s="1">
        <f t="shared" si="1"/>
        <v>5223433</v>
      </c>
      <c r="H70" s="1">
        <v>-70545</v>
      </c>
    </row>
    <row r="71" spans="1:9">
      <c r="A71" s="2">
        <v>45708</v>
      </c>
      <c r="B71" t="s">
        <v>108</v>
      </c>
      <c r="C71" t="s">
        <v>9</v>
      </c>
      <c r="E71" t="s">
        <v>462</v>
      </c>
      <c r="F71" s="1">
        <f t="shared" si="1"/>
        <v>5152888</v>
      </c>
      <c r="H71" s="1">
        <v>-113639</v>
      </c>
    </row>
    <row r="72" spans="1:9">
      <c r="A72" s="2">
        <v>45709</v>
      </c>
      <c r="B72" t="s">
        <v>109</v>
      </c>
      <c r="C72" t="s">
        <v>12</v>
      </c>
      <c r="F72" s="1">
        <f t="shared" si="1"/>
        <v>5039249</v>
      </c>
      <c r="G72" s="1">
        <v>3500000</v>
      </c>
      <c r="I72" t="s">
        <v>110</v>
      </c>
    </row>
    <row r="73" spans="1:9">
      <c r="A73" s="2">
        <v>45712</v>
      </c>
      <c r="B73" t="s">
        <v>111</v>
      </c>
      <c r="C73" t="s">
        <v>18</v>
      </c>
      <c r="F73" s="1">
        <f t="shared" si="1"/>
        <v>8539249</v>
      </c>
      <c r="H73" s="1">
        <v>-103638</v>
      </c>
    </row>
    <row r="74" spans="1:9">
      <c r="A74" s="2">
        <v>45713</v>
      </c>
      <c r="B74" t="s">
        <v>112</v>
      </c>
      <c r="C74" t="s">
        <v>12</v>
      </c>
      <c r="D74" t="s">
        <v>192</v>
      </c>
      <c r="F74" s="1">
        <f t="shared" si="1"/>
        <v>8435611</v>
      </c>
      <c r="G74" s="1">
        <v>200000</v>
      </c>
      <c r="I74" t="s">
        <v>113</v>
      </c>
    </row>
    <row r="75" spans="1:9">
      <c r="A75" s="2">
        <v>45715</v>
      </c>
      <c r="B75" t="s">
        <v>37</v>
      </c>
      <c r="C75" t="s">
        <v>9</v>
      </c>
      <c r="F75" s="1">
        <f t="shared" si="1"/>
        <v>8635611</v>
      </c>
      <c r="H75" s="1">
        <v>-178500</v>
      </c>
    </row>
    <row r="76" spans="1:9">
      <c r="A76" s="2">
        <v>45715</v>
      </c>
      <c r="B76" t="s">
        <v>44</v>
      </c>
      <c r="C76" t="s">
        <v>9</v>
      </c>
      <c r="F76" s="1">
        <f t="shared" si="1"/>
        <v>8457111</v>
      </c>
      <c r="H76" s="1">
        <v>-946050</v>
      </c>
      <c r="I76" t="s">
        <v>159</v>
      </c>
    </row>
    <row r="77" spans="1:9">
      <c r="A77" s="2">
        <v>45716</v>
      </c>
      <c r="B77" t="s">
        <v>114</v>
      </c>
      <c r="C77" t="s">
        <v>12</v>
      </c>
      <c r="F77" s="1">
        <f t="shared" si="1"/>
        <v>7511061</v>
      </c>
      <c r="H77" s="1">
        <v>-200000</v>
      </c>
      <c r="I77" t="s">
        <v>115</v>
      </c>
    </row>
    <row r="78" spans="1:9">
      <c r="A78" s="2">
        <v>45716</v>
      </c>
      <c r="B78" t="s">
        <v>108</v>
      </c>
      <c r="C78" t="s">
        <v>9</v>
      </c>
      <c r="E78" t="s">
        <v>462</v>
      </c>
      <c r="F78" s="1">
        <f t="shared" si="1"/>
        <v>7311061</v>
      </c>
      <c r="H78" s="1">
        <v>-19909</v>
      </c>
      <c r="I78" t="s">
        <v>116</v>
      </c>
    </row>
    <row r="79" spans="1:9">
      <c r="A79" s="2">
        <v>45719</v>
      </c>
      <c r="B79" t="s">
        <v>117</v>
      </c>
      <c r="C79" t="s">
        <v>20</v>
      </c>
      <c r="E79" t="s">
        <v>24</v>
      </c>
      <c r="F79" s="1">
        <f t="shared" si="1"/>
        <v>7291152</v>
      </c>
      <c r="G79" s="1">
        <v>42000000</v>
      </c>
      <c r="I79" t="s">
        <v>127</v>
      </c>
    </row>
    <row r="80" spans="1:9">
      <c r="A80" s="2">
        <v>45719</v>
      </c>
      <c r="B80" t="s">
        <v>118</v>
      </c>
      <c r="C80" t="s">
        <v>20</v>
      </c>
      <c r="E80" t="s">
        <v>509</v>
      </c>
      <c r="F80" s="1">
        <f t="shared" si="1"/>
        <v>49291152</v>
      </c>
      <c r="G80" s="1">
        <v>260000000</v>
      </c>
      <c r="I80" t="s">
        <v>128</v>
      </c>
    </row>
    <row r="81" spans="1:9">
      <c r="A81" s="2">
        <v>45720</v>
      </c>
      <c r="B81" t="s">
        <v>112</v>
      </c>
      <c r="C81" t="s">
        <v>12</v>
      </c>
      <c r="D81" t="s">
        <v>192</v>
      </c>
      <c r="F81" s="1">
        <f t="shared" si="1"/>
        <v>309291152</v>
      </c>
      <c r="G81" s="1">
        <v>4800000</v>
      </c>
      <c r="I81" t="s">
        <v>119</v>
      </c>
    </row>
    <row r="82" spans="1:9">
      <c r="A82" s="2">
        <v>45720</v>
      </c>
      <c r="B82" t="s">
        <v>120</v>
      </c>
      <c r="C82" t="s">
        <v>12</v>
      </c>
      <c r="F82" s="1">
        <f t="shared" si="1"/>
        <v>314091152</v>
      </c>
      <c r="G82" s="1">
        <v>200000</v>
      </c>
      <c r="I82" t="s">
        <v>121</v>
      </c>
    </row>
    <row r="83" spans="1:9">
      <c r="A83" s="2">
        <v>45720</v>
      </c>
      <c r="B83" t="s">
        <v>41</v>
      </c>
      <c r="C83" t="s">
        <v>9</v>
      </c>
      <c r="F83" s="1">
        <f t="shared" si="1"/>
        <v>314291152</v>
      </c>
      <c r="H83" s="1">
        <v>-100000</v>
      </c>
      <c r="I83" t="s">
        <v>53</v>
      </c>
    </row>
    <row r="84" spans="1:9">
      <c r="A84" s="2">
        <v>45720</v>
      </c>
      <c r="B84" t="s">
        <v>108</v>
      </c>
      <c r="C84" t="s">
        <v>9</v>
      </c>
      <c r="E84" t="s">
        <v>462</v>
      </c>
      <c r="F84" s="1">
        <f t="shared" si="1"/>
        <v>314191152</v>
      </c>
      <c r="H84" s="1">
        <v>-9674</v>
      </c>
      <c r="I84" t="s">
        <v>122</v>
      </c>
    </row>
    <row r="85" spans="1:9">
      <c r="A85" s="2">
        <v>45721</v>
      </c>
      <c r="B85" t="s">
        <v>40</v>
      </c>
      <c r="C85" t="s">
        <v>10</v>
      </c>
      <c r="F85" s="1">
        <f t="shared" si="1"/>
        <v>314181478</v>
      </c>
      <c r="H85" s="1">
        <v>-27500</v>
      </c>
      <c r="I85" t="s">
        <v>123</v>
      </c>
    </row>
    <row r="86" spans="1:9">
      <c r="A86" s="2">
        <v>45721</v>
      </c>
      <c r="B86" t="s">
        <v>124</v>
      </c>
      <c r="C86" t="s">
        <v>12</v>
      </c>
      <c r="F86" s="1">
        <f t="shared" si="1"/>
        <v>314153978</v>
      </c>
      <c r="G86" s="1">
        <v>200000</v>
      </c>
      <c r="I86" t="s">
        <v>125</v>
      </c>
    </row>
    <row r="87" spans="1:9">
      <c r="A87" s="2">
        <v>45722</v>
      </c>
      <c r="B87" t="s">
        <v>42</v>
      </c>
      <c r="C87" t="s">
        <v>10</v>
      </c>
      <c r="F87" s="1">
        <f t="shared" si="1"/>
        <v>314353978</v>
      </c>
      <c r="H87" s="1">
        <v>-10000</v>
      </c>
    </row>
    <row r="88" spans="1:9">
      <c r="A88" s="2">
        <v>45723</v>
      </c>
      <c r="B88" t="s">
        <v>84</v>
      </c>
      <c r="C88" t="s">
        <v>20</v>
      </c>
      <c r="E88" t="s">
        <v>126</v>
      </c>
      <c r="F88" s="1">
        <f t="shared" si="1"/>
        <v>314343978</v>
      </c>
      <c r="H88" s="1">
        <v>-300775861</v>
      </c>
    </row>
    <row r="89" spans="1:9">
      <c r="A89" s="2">
        <v>45723</v>
      </c>
      <c r="B89" t="s">
        <v>108</v>
      </c>
      <c r="C89" t="s">
        <v>9</v>
      </c>
      <c r="E89" t="s">
        <v>462</v>
      </c>
      <c r="F89" s="1">
        <f t="shared" si="1"/>
        <v>13568117</v>
      </c>
      <c r="H89" s="1">
        <v>-140949</v>
      </c>
      <c r="I89" t="s">
        <v>130</v>
      </c>
    </row>
    <row r="90" spans="1:9">
      <c r="A90" s="2">
        <v>45726</v>
      </c>
      <c r="B90" t="s">
        <v>107</v>
      </c>
      <c r="C90" t="s">
        <v>9</v>
      </c>
      <c r="F90" s="1">
        <f t="shared" si="1"/>
        <v>13427168</v>
      </c>
      <c r="H90" s="1">
        <v>-7563</v>
      </c>
    </row>
    <row r="91" spans="1:9">
      <c r="A91" s="2">
        <v>45726</v>
      </c>
      <c r="B91" t="s">
        <v>131</v>
      </c>
      <c r="C91" t="s">
        <v>12</v>
      </c>
      <c r="D91" t="s">
        <v>608</v>
      </c>
      <c r="F91" s="1">
        <f t="shared" si="1"/>
        <v>13419605</v>
      </c>
      <c r="G91" s="1">
        <v>1000000</v>
      </c>
      <c r="I91" t="s">
        <v>132</v>
      </c>
    </row>
    <row r="92" spans="1:9">
      <c r="A92" s="2">
        <v>45726</v>
      </c>
      <c r="B92" t="s">
        <v>39</v>
      </c>
      <c r="C92" t="s">
        <v>12</v>
      </c>
      <c r="F92" s="1">
        <f t="shared" si="1"/>
        <v>14419605</v>
      </c>
      <c r="G92" s="1">
        <v>6600000</v>
      </c>
      <c r="I92" t="s">
        <v>134</v>
      </c>
    </row>
    <row r="93" spans="1:9">
      <c r="A93" s="2">
        <v>45726</v>
      </c>
      <c r="B93" t="s">
        <v>133</v>
      </c>
      <c r="C93" t="s">
        <v>12</v>
      </c>
      <c r="D93" t="s">
        <v>198</v>
      </c>
      <c r="F93" s="1">
        <f t="shared" si="1"/>
        <v>21019605</v>
      </c>
      <c r="G93" s="1">
        <v>200000</v>
      </c>
      <c r="I93" t="s">
        <v>135</v>
      </c>
    </row>
    <row r="94" spans="1:9">
      <c r="A94" s="2">
        <v>45726</v>
      </c>
      <c r="B94" t="s">
        <v>85</v>
      </c>
      <c r="C94" t="s">
        <v>9</v>
      </c>
      <c r="F94" s="1">
        <f t="shared" si="1"/>
        <v>21219605</v>
      </c>
      <c r="H94" s="1">
        <v>-901592</v>
      </c>
    </row>
    <row r="95" spans="1:9">
      <c r="A95" s="2">
        <v>45727</v>
      </c>
      <c r="B95" t="s">
        <v>42</v>
      </c>
      <c r="C95" t="s">
        <v>10</v>
      </c>
      <c r="F95" s="1">
        <f t="shared" si="1"/>
        <v>20318013</v>
      </c>
      <c r="H95" s="1">
        <v>-60000</v>
      </c>
    </row>
    <row r="96" spans="1:9">
      <c r="A96" s="2">
        <v>45727</v>
      </c>
      <c r="B96" t="s">
        <v>120</v>
      </c>
      <c r="C96" t="s">
        <v>12</v>
      </c>
      <c r="F96" s="1">
        <f t="shared" si="1"/>
        <v>20258013</v>
      </c>
      <c r="G96" s="1">
        <v>200000</v>
      </c>
      <c r="I96" t="s">
        <v>136</v>
      </c>
    </row>
    <row r="97" spans="1:9">
      <c r="A97" s="2">
        <v>45728</v>
      </c>
      <c r="B97" t="s">
        <v>137</v>
      </c>
      <c r="C97" t="s">
        <v>16</v>
      </c>
      <c r="F97" s="1">
        <f t="shared" si="1"/>
        <v>20458013</v>
      </c>
      <c r="H97" s="1">
        <v>-20000000</v>
      </c>
    </row>
    <row r="98" spans="1:9">
      <c r="A98" s="2">
        <v>45729</v>
      </c>
      <c r="B98" t="s">
        <v>138</v>
      </c>
      <c r="C98" t="s">
        <v>12</v>
      </c>
      <c r="F98" s="1">
        <f t="shared" si="1"/>
        <v>458013</v>
      </c>
      <c r="G98" s="1">
        <v>200000</v>
      </c>
      <c r="I98" t="s">
        <v>139</v>
      </c>
    </row>
    <row r="99" spans="1:9">
      <c r="A99" s="2">
        <v>45729</v>
      </c>
      <c r="B99" t="s">
        <v>140</v>
      </c>
      <c r="C99" t="s">
        <v>12</v>
      </c>
      <c r="F99" s="1">
        <f t="shared" si="1"/>
        <v>658013</v>
      </c>
      <c r="G99" s="1">
        <v>200000</v>
      </c>
      <c r="I99" t="s">
        <v>143</v>
      </c>
    </row>
    <row r="100" spans="1:9">
      <c r="A100" s="2">
        <v>45729</v>
      </c>
      <c r="B100" t="s">
        <v>141</v>
      </c>
      <c r="C100" t="s">
        <v>12</v>
      </c>
      <c r="F100" s="1">
        <f t="shared" si="1"/>
        <v>858013</v>
      </c>
      <c r="G100" s="1">
        <v>200000</v>
      </c>
      <c r="I100" t="s">
        <v>144</v>
      </c>
    </row>
    <row r="101" spans="1:9">
      <c r="A101" s="2">
        <v>45730</v>
      </c>
      <c r="B101" t="s">
        <v>142</v>
      </c>
      <c r="C101" t="s">
        <v>12</v>
      </c>
      <c r="F101" s="1">
        <f t="shared" si="1"/>
        <v>1058013</v>
      </c>
      <c r="G101" s="1">
        <v>200000</v>
      </c>
      <c r="I101" t="s">
        <v>145</v>
      </c>
    </row>
    <row r="102" spans="1:9">
      <c r="A102" s="2">
        <v>45730</v>
      </c>
      <c r="B102" t="s">
        <v>108</v>
      </c>
      <c r="C102" t="s">
        <v>9</v>
      </c>
      <c r="E102" t="s">
        <v>462</v>
      </c>
      <c r="F102" s="1">
        <f t="shared" ref="F102:F165" si="2">+F101+G101+H101</f>
        <v>1258013</v>
      </c>
      <c r="H102" s="1">
        <v>-20000</v>
      </c>
    </row>
    <row r="103" spans="1:9">
      <c r="A103" s="2">
        <v>45730</v>
      </c>
      <c r="B103" t="s">
        <v>108</v>
      </c>
      <c r="C103" t="s">
        <v>9</v>
      </c>
      <c r="E103" t="s">
        <v>462</v>
      </c>
      <c r="F103" s="1">
        <f t="shared" si="2"/>
        <v>1238013</v>
      </c>
      <c r="H103" s="1">
        <v>-9691</v>
      </c>
    </row>
    <row r="104" spans="1:9">
      <c r="A104" s="2">
        <v>45735</v>
      </c>
      <c r="B104" t="s">
        <v>108</v>
      </c>
      <c r="C104" t="s">
        <v>9</v>
      </c>
      <c r="E104" t="s">
        <v>462</v>
      </c>
      <c r="F104" s="1">
        <f t="shared" si="2"/>
        <v>1228322</v>
      </c>
      <c r="H104" s="1">
        <v>-36069</v>
      </c>
    </row>
    <row r="105" spans="1:9">
      <c r="A105" s="2">
        <v>45735</v>
      </c>
      <c r="B105" t="s">
        <v>108</v>
      </c>
      <c r="C105" t="s">
        <v>9</v>
      </c>
      <c r="E105" t="s">
        <v>462</v>
      </c>
      <c r="F105" s="1">
        <f t="shared" si="2"/>
        <v>1192253</v>
      </c>
      <c r="H105" s="1">
        <v>-9528</v>
      </c>
    </row>
    <row r="106" spans="1:9">
      <c r="A106" s="2">
        <v>45736</v>
      </c>
      <c r="B106" t="s">
        <v>42</v>
      </c>
      <c r="C106" t="s">
        <v>10</v>
      </c>
      <c r="F106" s="1">
        <f t="shared" si="2"/>
        <v>1182725</v>
      </c>
      <c r="H106" s="1">
        <v>-120000</v>
      </c>
    </row>
    <row r="107" spans="1:9">
      <c r="A107" s="2">
        <v>45740</v>
      </c>
      <c r="B107" t="s">
        <v>146</v>
      </c>
      <c r="C107" t="s">
        <v>9</v>
      </c>
      <c r="F107" s="1">
        <f t="shared" si="2"/>
        <v>1062725</v>
      </c>
      <c r="H107" s="1">
        <v>-259074</v>
      </c>
      <c r="I107" t="s">
        <v>581</v>
      </c>
    </row>
    <row r="108" spans="1:9">
      <c r="A108" s="2">
        <v>45740</v>
      </c>
      <c r="B108" t="s">
        <v>146</v>
      </c>
      <c r="C108" t="s">
        <v>9</v>
      </c>
      <c r="F108" s="1">
        <f t="shared" si="2"/>
        <v>803651</v>
      </c>
      <c r="H108" s="1">
        <v>-260000</v>
      </c>
      <c r="I108" t="s">
        <v>582</v>
      </c>
    </row>
    <row r="109" spans="1:9">
      <c r="A109" s="2">
        <v>45740</v>
      </c>
      <c r="B109" t="s">
        <v>42</v>
      </c>
      <c r="C109" t="s">
        <v>10</v>
      </c>
      <c r="F109" s="1">
        <f t="shared" si="2"/>
        <v>543651</v>
      </c>
      <c r="H109" s="1">
        <v>-50000</v>
      </c>
      <c r="I109" t="s">
        <v>583</v>
      </c>
    </row>
    <row r="110" spans="1:9">
      <c r="A110" s="2">
        <v>45740</v>
      </c>
      <c r="B110" t="s">
        <v>147</v>
      </c>
      <c r="C110" t="s">
        <v>12</v>
      </c>
      <c r="F110" s="1">
        <f t="shared" si="2"/>
        <v>493651</v>
      </c>
      <c r="G110" s="1">
        <v>200000</v>
      </c>
      <c r="I110" t="s">
        <v>157</v>
      </c>
    </row>
    <row r="111" spans="1:9">
      <c r="A111" s="2">
        <v>45744</v>
      </c>
      <c r="B111" t="s">
        <v>148</v>
      </c>
      <c r="C111" t="s">
        <v>12</v>
      </c>
      <c r="F111" s="1">
        <f t="shared" si="2"/>
        <v>693651</v>
      </c>
      <c r="G111" s="1">
        <v>200000</v>
      </c>
      <c r="I111" t="s">
        <v>156</v>
      </c>
    </row>
    <row r="112" spans="1:9">
      <c r="A112" s="2">
        <v>45747</v>
      </c>
      <c r="B112" t="s">
        <v>149</v>
      </c>
      <c r="C112" t="s">
        <v>12</v>
      </c>
      <c r="F112" s="1">
        <f t="shared" si="2"/>
        <v>893651</v>
      </c>
      <c r="G112" s="1">
        <v>200000</v>
      </c>
      <c r="I112" t="s">
        <v>155</v>
      </c>
    </row>
    <row r="113" spans="1:9">
      <c r="A113" s="2">
        <v>45747</v>
      </c>
      <c r="B113" t="s">
        <v>150</v>
      </c>
      <c r="C113" t="s">
        <v>16</v>
      </c>
      <c r="F113" s="1">
        <f t="shared" si="2"/>
        <v>1093651</v>
      </c>
      <c r="G113" s="1">
        <v>5000001</v>
      </c>
    </row>
    <row r="114" spans="1:9">
      <c r="A114" s="2">
        <v>45748</v>
      </c>
      <c r="B114" t="s">
        <v>151</v>
      </c>
      <c r="C114" t="s">
        <v>12</v>
      </c>
      <c r="F114" s="1">
        <f t="shared" si="2"/>
        <v>6093652</v>
      </c>
      <c r="G114" s="1">
        <v>200000</v>
      </c>
      <c r="I114" t="s">
        <v>154</v>
      </c>
    </row>
    <row r="115" spans="1:9">
      <c r="A115" s="2">
        <v>45748</v>
      </c>
      <c r="B115" t="s">
        <v>44</v>
      </c>
      <c r="C115" t="s">
        <v>9</v>
      </c>
      <c r="F115" s="1">
        <f t="shared" si="2"/>
        <v>6293652</v>
      </c>
      <c r="H115" s="1">
        <v>-5000000</v>
      </c>
      <c r="I115" t="s">
        <v>158</v>
      </c>
    </row>
    <row r="116" spans="1:9">
      <c r="A116" s="2">
        <v>45748</v>
      </c>
      <c r="B116" t="s">
        <v>44</v>
      </c>
      <c r="C116" t="s">
        <v>9</v>
      </c>
      <c r="F116" s="1">
        <f t="shared" si="2"/>
        <v>1293652</v>
      </c>
      <c r="H116" s="1">
        <v>-950000</v>
      </c>
      <c r="I116" t="s">
        <v>158</v>
      </c>
    </row>
    <row r="117" spans="1:9">
      <c r="A117" s="2">
        <v>45748</v>
      </c>
      <c r="B117" t="s">
        <v>42</v>
      </c>
      <c r="C117" t="s">
        <v>10</v>
      </c>
      <c r="F117" s="1">
        <f t="shared" si="2"/>
        <v>343652</v>
      </c>
      <c r="H117" s="1">
        <v>-120000</v>
      </c>
    </row>
    <row r="118" spans="1:9">
      <c r="A118" s="2">
        <v>45748</v>
      </c>
      <c r="B118" t="s">
        <v>40</v>
      </c>
      <c r="C118" t="s">
        <v>10</v>
      </c>
      <c r="F118" s="1">
        <f t="shared" si="2"/>
        <v>223652</v>
      </c>
      <c r="H118" s="1">
        <v>-27500</v>
      </c>
    </row>
    <row r="119" spans="1:9">
      <c r="A119" s="2">
        <v>45748</v>
      </c>
      <c r="B119" t="s">
        <v>41</v>
      </c>
      <c r="C119" t="s">
        <v>9</v>
      </c>
      <c r="F119" s="1">
        <f t="shared" si="2"/>
        <v>196152</v>
      </c>
      <c r="H119" s="1">
        <v>-100000</v>
      </c>
    </row>
    <row r="120" spans="1:9">
      <c r="A120" s="2">
        <v>45750</v>
      </c>
      <c r="B120" t="s">
        <v>150</v>
      </c>
      <c r="C120" t="s">
        <v>16</v>
      </c>
      <c r="F120" s="1">
        <f t="shared" si="2"/>
        <v>96152</v>
      </c>
      <c r="G120" s="1">
        <v>6000001</v>
      </c>
    </row>
    <row r="121" spans="1:9">
      <c r="A121" s="2">
        <v>45750</v>
      </c>
      <c r="B121" t="s">
        <v>152</v>
      </c>
      <c r="C121" t="s">
        <v>12</v>
      </c>
      <c r="D121" t="s">
        <v>194</v>
      </c>
      <c r="F121" s="1">
        <f t="shared" si="2"/>
        <v>6096153</v>
      </c>
      <c r="G121" s="1">
        <v>7000000</v>
      </c>
      <c r="I121" t="s">
        <v>153</v>
      </c>
    </row>
    <row r="122" spans="1:9">
      <c r="A122" s="2">
        <v>45750</v>
      </c>
      <c r="B122" t="s">
        <v>41</v>
      </c>
      <c r="C122" t="s">
        <v>9</v>
      </c>
      <c r="F122" s="1">
        <f t="shared" si="2"/>
        <v>13096153</v>
      </c>
      <c r="H122" s="1">
        <v>-4000000</v>
      </c>
      <c r="I122" s="3"/>
    </row>
    <row r="123" spans="1:9">
      <c r="A123" s="2">
        <v>45750</v>
      </c>
      <c r="B123" t="s">
        <v>44</v>
      </c>
      <c r="C123" t="s">
        <v>9</v>
      </c>
      <c r="F123" s="1">
        <f t="shared" si="2"/>
        <v>9096153</v>
      </c>
      <c r="H123" s="1">
        <v>-1900000</v>
      </c>
      <c r="I123" t="s">
        <v>158</v>
      </c>
    </row>
    <row r="124" spans="1:9">
      <c r="A124" s="2">
        <v>45750</v>
      </c>
      <c r="B124" t="s">
        <v>137</v>
      </c>
      <c r="C124" t="s">
        <v>16</v>
      </c>
      <c r="F124" s="1">
        <f t="shared" si="2"/>
        <v>7196153</v>
      </c>
      <c r="H124" s="1">
        <v>-7000000</v>
      </c>
    </row>
    <row r="125" spans="1:9">
      <c r="A125" s="2">
        <v>45751</v>
      </c>
      <c r="B125" t="s">
        <v>90</v>
      </c>
      <c r="C125" t="s">
        <v>12</v>
      </c>
      <c r="F125" s="1">
        <f t="shared" si="2"/>
        <v>196153</v>
      </c>
      <c r="G125" s="1">
        <v>4800000</v>
      </c>
      <c r="I125" t="s">
        <v>163</v>
      </c>
    </row>
    <row r="126" spans="1:9">
      <c r="A126" s="2">
        <v>45754</v>
      </c>
      <c r="B126" t="s">
        <v>160</v>
      </c>
      <c r="C126" t="s">
        <v>12</v>
      </c>
      <c r="F126" s="1">
        <f t="shared" si="2"/>
        <v>4996153</v>
      </c>
      <c r="G126" s="1">
        <v>200000</v>
      </c>
      <c r="I126" t="s">
        <v>164</v>
      </c>
    </row>
    <row r="127" spans="1:9">
      <c r="A127" s="2">
        <v>45754</v>
      </c>
      <c r="B127" t="s">
        <v>108</v>
      </c>
      <c r="C127" t="s">
        <v>9</v>
      </c>
      <c r="E127" t="s">
        <v>462</v>
      </c>
      <c r="F127" s="1">
        <f t="shared" si="2"/>
        <v>5196153</v>
      </c>
      <c r="H127" s="1">
        <v>-1710000</v>
      </c>
      <c r="I127" t="s">
        <v>585</v>
      </c>
    </row>
    <row r="128" spans="1:9">
      <c r="A128" s="2">
        <v>45754</v>
      </c>
      <c r="B128" t="s">
        <v>137</v>
      </c>
      <c r="C128" t="s">
        <v>16</v>
      </c>
      <c r="F128" s="1">
        <f t="shared" si="2"/>
        <v>3486153</v>
      </c>
      <c r="H128" s="1">
        <v>-3300000</v>
      </c>
    </row>
    <row r="129" spans="1:9">
      <c r="A129" s="2">
        <v>45754</v>
      </c>
      <c r="B129" t="s">
        <v>85</v>
      </c>
      <c r="C129" t="s">
        <v>9</v>
      </c>
      <c r="F129" s="1">
        <f t="shared" si="2"/>
        <v>186153</v>
      </c>
      <c r="H129" s="1">
        <v>-1175879</v>
      </c>
    </row>
    <row r="130" spans="1:9">
      <c r="A130" s="2">
        <v>45754</v>
      </c>
      <c r="B130" t="s">
        <v>161</v>
      </c>
      <c r="C130" t="s">
        <v>18</v>
      </c>
      <c r="F130" s="1">
        <f t="shared" si="2"/>
        <v>-989726</v>
      </c>
      <c r="G130" s="1">
        <v>989726</v>
      </c>
    </row>
    <row r="131" spans="1:9">
      <c r="A131" s="2">
        <v>45755</v>
      </c>
      <c r="B131" t="s">
        <v>147</v>
      </c>
      <c r="C131" t="s">
        <v>12</v>
      </c>
      <c r="F131" s="1">
        <f t="shared" si="2"/>
        <v>0</v>
      </c>
      <c r="G131" s="1">
        <v>200000</v>
      </c>
    </row>
    <row r="132" spans="1:9">
      <c r="A132" s="2">
        <v>45755</v>
      </c>
      <c r="B132" t="s">
        <v>42</v>
      </c>
      <c r="C132" t="s">
        <v>10</v>
      </c>
      <c r="F132" s="1">
        <f t="shared" si="2"/>
        <v>200000</v>
      </c>
      <c r="H132" s="1">
        <v>-50000</v>
      </c>
    </row>
    <row r="133" spans="1:9">
      <c r="A133" s="2">
        <v>45755</v>
      </c>
      <c r="B133" t="s">
        <v>42</v>
      </c>
      <c r="C133" t="s">
        <v>10</v>
      </c>
      <c r="F133" s="1">
        <f t="shared" si="2"/>
        <v>150000</v>
      </c>
      <c r="H133" s="1">
        <v>-60000</v>
      </c>
    </row>
    <row r="134" spans="1:9">
      <c r="A134" s="2">
        <v>45755</v>
      </c>
      <c r="B134" t="s">
        <v>39</v>
      </c>
      <c r="C134" t="s">
        <v>12</v>
      </c>
      <c r="F134" s="1">
        <f t="shared" si="2"/>
        <v>90000</v>
      </c>
      <c r="G134" s="1">
        <v>6600000</v>
      </c>
    </row>
    <row r="135" spans="1:9">
      <c r="A135" s="2">
        <v>45755</v>
      </c>
      <c r="B135" t="s">
        <v>137</v>
      </c>
      <c r="C135" t="s">
        <v>16</v>
      </c>
      <c r="F135" s="1">
        <f t="shared" si="2"/>
        <v>6690000</v>
      </c>
      <c r="H135" s="1">
        <v>-4600000</v>
      </c>
    </row>
    <row r="136" spans="1:9">
      <c r="A136" s="2">
        <v>45755</v>
      </c>
      <c r="B136" t="s">
        <v>165</v>
      </c>
      <c r="C136" t="s">
        <v>18</v>
      </c>
      <c r="F136" s="1">
        <f t="shared" si="2"/>
        <v>2090000</v>
      </c>
      <c r="H136" s="1">
        <v>-989726</v>
      </c>
    </row>
    <row r="137" spans="1:9">
      <c r="A137" s="2">
        <v>45756</v>
      </c>
      <c r="B137" t="s">
        <v>166</v>
      </c>
      <c r="C137" t="s">
        <v>9</v>
      </c>
      <c r="F137" s="1">
        <f t="shared" si="2"/>
        <v>1100274</v>
      </c>
      <c r="H137" s="1">
        <v>-351268</v>
      </c>
      <c r="I137" t="s">
        <v>173</v>
      </c>
    </row>
    <row r="138" spans="1:9">
      <c r="A138" s="2">
        <v>45758</v>
      </c>
      <c r="B138" t="s">
        <v>107</v>
      </c>
      <c r="C138" t="s">
        <v>9</v>
      </c>
      <c r="F138" s="1">
        <f t="shared" si="2"/>
        <v>749006</v>
      </c>
      <c r="H138" s="1">
        <v>-439844</v>
      </c>
      <c r="I138" t="s">
        <v>317</v>
      </c>
    </row>
    <row r="139" spans="1:9">
      <c r="A139" s="2">
        <v>45761</v>
      </c>
      <c r="B139" t="s">
        <v>167</v>
      </c>
      <c r="C139" t="s">
        <v>12</v>
      </c>
      <c r="F139" s="1">
        <f t="shared" si="2"/>
        <v>309162</v>
      </c>
      <c r="G139" s="1">
        <v>200000</v>
      </c>
    </row>
    <row r="140" spans="1:9">
      <c r="A140" s="2">
        <v>45761</v>
      </c>
      <c r="B140" t="s">
        <v>168</v>
      </c>
      <c r="C140" t="s">
        <v>20</v>
      </c>
      <c r="E140" t="s">
        <v>126</v>
      </c>
      <c r="F140" s="1">
        <f t="shared" si="2"/>
        <v>509162</v>
      </c>
      <c r="G140" s="1">
        <v>17570170</v>
      </c>
    </row>
    <row r="141" spans="1:9">
      <c r="A141" s="2">
        <v>45762</v>
      </c>
      <c r="B141" t="s">
        <v>137</v>
      </c>
      <c r="C141" t="s">
        <v>16</v>
      </c>
      <c r="F141" s="1">
        <f t="shared" si="2"/>
        <v>18079332</v>
      </c>
      <c r="H141" s="1">
        <v>-16000000</v>
      </c>
    </row>
    <row r="142" spans="1:9">
      <c r="A142" s="2">
        <v>45763</v>
      </c>
      <c r="B142" t="s">
        <v>44</v>
      </c>
      <c r="C142" t="s">
        <v>9</v>
      </c>
      <c r="F142" s="1">
        <f t="shared" si="2"/>
        <v>2079332</v>
      </c>
      <c r="H142" s="1">
        <v>-1309000</v>
      </c>
      <c r="I142" t="s">
        <v>191</v>
      </c>
    </row>
    <row r="143" spans="1:9">
      <c r="A143" s="2">
        <v>45763</v>
      </c>
      <c r="B143" t="s">
        <v>169</v>
      </c>
      <c r="C143" t="s">
        <v>12</v>
      </c>
      <c r="F143" s="1">
        <f t="shared" si="2"/>
        <v>770332</v>
      </c>
      <c r="G143" s="1">
        <v>200000</v>
      </c>
      <c r="I143" t="s">
        <v>171</v>
      </c>
    </row>
    <row r="144" spans="1:9">
      <c r="A144" s="2">
        <v>45768</v>
      </c>
      <c r="B144" t="s">
        <v>170</v>
      </c>
      <c r="C144" t="s">
        <v>12</v>
      </c>
      <c r="F144" s="1">
        <f t="shared" si="2"/>
        <v>970332</v>
      </c>
      <c r="G144" s="1">
        <v>200000</v>
      </c>
      <c r="I144" t="s">
        <v>172</v>
      </c>
    </row>
    <row r="145" spans="1:9">
      <c r="A145" s="2">
        <v>45769</v>
      </c>
      <c r="B145" t="s">
        <v>40</v>
      </c>
      <c r="C145" t="s">
        <v>10</v>
      </c>
      <c r="F145" s="1">
        <f t="shared" si="2"/>
        <v>1170332</v>
      </c>
      <c r="H145" s="1">
        <v>-177500</v>
      </c>
    </row>
    <row r="146" spans="1:9">
      <c r="A146" s="2">
        <v>45771</v>
      </c>
      <c r="B146" t="s">
        <v>42</v>
      </c>
      <c r="C146" t="s">
        <v>10</v>
      </c>
      <c r="F146" s="1">
        <f t="shared" si="2"/>
        <v>992832</v>
      </c>
      <c r="H146" s="1">
        <v>-90000</v>
      </c>
    </row>
    <row r="147" spans="1:9">
      <c r="A147" s="2">
        <v>45771</v>
      </c>
      <c r="B147" t="s">
        <v>40</v>
      </c>
      <c r="C147" t="s">
        <v>10</v>
      </c>
      <c r="F147" s="1">
        <f t="shared" si="2"/>
        <v>902832</v>
      </c>
      <c r="H147" s="1">
        <v>-35500</v>
      </c>
    </row>
    <row r="148" spans="1:9">
      <c r="A148" s="2">
        <v>45775</v>
      </c>
      <c r="B148" t="s">
        <v>174</v>
      </c>
      <c r="C148" t="s">
        <v>12</v>
      </c>
      <c r="F148" s="1">
        <f t="shared" si="2"/>
        <v>867332</v>
      </c>
      <c r="G148" s="1">
        <v>19800000</v>
      </c>
      <c r="I148" t="s">
        <v>394</v>
      </c>
    </row>
    <row r="149" spans="1:9">
      <c r="A149" s="2">
        <v>45775</v>
      </c>
      <c r="B149" t="s">
        <v>175</v>
      </c>
      <c r="C149" t="s">
        <v>12</v>
      </c>
      <c r="F149" s="1">
        <f t="shared" si="2"/>
        <v>20667332</v>
      </c>
      <c r="G149" s="1">
        <v>84200000</v>
      </c>
      <c r="I149" t="s">
        <v>396</v>
      </c>
    </row>
    <row r="150" spans="1:9">
      <c r="A150" s="2">
        <v>45776</v>
      </c>
      <c r="B150" t="s">
        <v>176</v>
      </c>
      <c r="C150" t="s">
        <v>12</v>
      </c>
      <c r="F150" s="1">
        <f t="shared" si="2"/>
        <v>104867332</v>
      </c>
      <c r="G150" s="1">
        <v>200000</v>
      </c>
      <c r="I150" t="s">
        <v>512</v>
      </c>
    </row>
    <row r="151" spans="1:9">
      <c r="A151" s="2">
        <v>45776</v>
      </c>
      <c r="B151" t="s">
        <v>177</v>
      </c>
      <c r="C151" t="s">
        <v>12</v>
      </c>
      <c r="F151" s="1">
        <f t="shared" si="2"/>
        <v>105067332</v>
      </c>
      <c r="G151" s="1">
        <v>19800000</v>
      </c>
      <c r="I151" t="s">
        <v>395</v>
      </c>
    </row>
    <row r="152" spans="1:9">
      <c r="A152" s="2">
        <v>45777</v>
      </c>
      <c r="B152" t="s">
        <v>108</v>
      </c>
      <c r="C152" t="s">
        <v>9</v>
      </c>
      <c r="E152" t="s">
        <v>462</v>
      </c>
      <c r="F152" s="1">
        <f t="shared" si="2"/>
        <v>124867332</v>
      </c>
      <c r="H152" s="1">
        <v>-3420000</v>
      </c>
      <c r="I152" t="s">
        <v>190</v>
      </c>
    </row>
    <row r="153" spans="1:9">
      <c r="A153" s="2">
        <v>45777</v>
      </c>
      <c r="B153" t="s">
        <v>112</v>
      </c>
      <c r="C153" t="s">
        <v>12</v>
      </c>
      <c r="D153" t="s">
        <v>192</v>
      </c>
      <c r="F153" s="1">
        <f t="shared" si="2"/>
        <v>121447332</v>
      </c>
      <c r="G153" s="1">
        <v>1125465</v>
      </c>
      <c r="I153" t="s">
        <v>202</v>
      </c>
    </row>
    <row r="154" spans="1:9">
      <c r="A154" s="2">
        <v>45777</v>
      </c>
      <c r="B154" t="s">
        <v>150</v>
      </c>
      <c r="C154" t="s">
        <v>16</v>
      </c>
      <c r="F154" s="1">
        <f t="shared" si="2"/>
        <v>122572797</v>
      </c>
      <c r="G154" s="1">
        <v>40028395</v>
      </c>
    </row>
    <row r="155" spans="1:9">
      <c r="A155" s="2">
        <v>45777</v>
      </c>
      <c r="B155" t="s">
        <v>178</v>
      </c>
      <c r="C155" t="s">
        <v>20</v>
      </c>
      <c r="E155" t="s">
        <v>509</v>
      </c>
      <c r="F155" s="1">
        <f t="shared" si="2"/>
        <v>162601192</v>
      </c>
      <c r="H155" s="1">
        <v>-5000000</v>
      </c>
    </row>
    <row r="156" spans="1:9">
      <c r="A156" s="2">
        <v>45777</v>
      </c>
      <c r="B156" t="s">
        <v>178</v>
      </c>
      <c r="C156" t="s">
        <v>20</v>
      </c>
      <c r="E156" t="s">
        <v>509</v>
      </c>
      <c r="F156" s="1">
        <f t="shared" si="2"/>
        <v>157601192</v>
      </c>
      <c r="H156" s="1">
        <v>-5000000</v>
      </c>
    </row>
    <row r="157" spans="1:9">
      <c r="A157" s="2">
        <v>45777</v>
      </c>
      <c r="B157" t="s">
        <v>178</v>
      </c>
      <c r="C157" t="s">
        <v>20</v>
      </c>
      <c r="E157" t="s">
        <v>509</v>
      </c>
      <c r="F157" s="1">
        <f t="shared" si="2"/>
        <v>152601192</v>
      </c>
      <c r="H157" s="1">
        <v>-5000000</v>
      </c>
    </row>
    <row r="158" spans="1:9">
      <c r="A158" s="2">
        <v>45777</v>
      </c>
      <c r="B158" t="s">
        <v>178</v>
      </c>
      <c r="C158" t="s">
        <v>20</v>
      </c>
      <c r="E158" t="s">
        <v>509</v>
      </c>
      <c r="F158" s="1">
        <f t="shared" si="2"/>
        <v>147601192</v>
      </c>
      <c r="H158" s="1">
        <v>-5000000</v>
      </c>
    </row>
    <row r="159" spans="1:9">
      <c r="A159" s="2">
        <v>45777</v>
      </c>
      <c r="B159" t="s">
        <v>178</v>
      </c>
      <c r="C159" t="s">
        <v>20</v>
      </c>
      <c r="E159" t="s">
        <v>509</v>
      </c>
      <c r="F159" s="1">
        <f t="shared" si="2"/>
        <v>142601192</v>
      </c>
      <c r="H159" s="1">
        <v>-5000000</v>
      </c>
    </row>
    <row r="160" spans="1:9">
      <c r="A160" s="2">
        <v>45777</v>
      </c>
      <c r="B160" t="s">
        <v>178</v>
      </c>
      <c r="C160" t="s">
        <v>20</v>
      </c>
      <c r="E160" t="s">
        <v>509</v>
      </c>
      <c r="F160" s="1">
        <f t="shared" si="2"/>
        <v>137601192</v>
      </c>
      <c r="H160" s="1">
        <v>-5000000</v>
      </c>
    </row>
    <row r="161" spans="1:8">
      <c r="A161" s="2">
        <v>45777</v>
      </c>
      <c r="B161" t="s">
        <v>178</v>
      </c>
      <c r="C161" t="s">
        <v>20</v>
      </c>
      <c r="E161" t="s">
        <v>509</v>
      </c>
      <c r="F161" s="1">
        <f t="shared" si="2"/>
        <v>132601192</v>
      </c>
      <c r="H161" s="1">
        <v>-5000000</v>
      </c>
    </row>
    <row r="162" spans="1:8">
      <c r="A162" s="2">
        <v>45777</v>
      </c>
      <c r="B162" t="s">
        <v>178</v>
      </c>
      <c r="C162" t="s">
        <v>20</v>
      </c>
      <c r="E162" t="s">
        <v>509</v>
      </c>
      <c r="F162" s="1">
        <f t="shared" si="2"/>
        <v>127601192</v>
      </c>
      <c r="H162" s="1">
        <v>-5000000</v>
      </c>
    </row>
    <row r="163" spans="1:8">
      <c r="A163" s="2">
        <v>45777</v>
      </c>
      <c r="B163" t="s">
        <v>178</v>
      </c>
      <c r="C163" t="s">
        <v>20</v>
      </c>
      <c r="E163" t="s">
        <v>509</v>
      </c>
      <c r="F163" s="1">
        <f t="shared" si="2"/>
        <v>122601192</v>
      </c>
      <c r="H163" s="1">
        <v>-5000000</v>
      </c>
    </row>
    <row r="164" spans="1:8">
      <c r="A164" s="2">
        <v>45777</v>
      </c>
      <c r="B164" t="s">
        <v>178</v>
      </c>
      <c r="C164" t="s">
        <v>20</v>
      </c>
      <c r="E164" t="s">
        <v>509</v>
      </c>
      <c r="F164" s="1">
        <f t="shared" si="2"/>
        <v>117601192</v>
      </c>
      <c r="H164" s="1">
        <v>-5000000</v>
      </c>
    </row>
    <row r="165" spans="1:8">
      <c r="A165" s="2">
        <v>45777</v>
      </c>
      <c r="B165" t="s">
        <v>178</v>
      </c>
      <c r="C165" t="s">
        <v>20</v>
      </c>
      <c r="E165" t="s">
        <v>509</v>
      </c>
      <c r="F165" s="1">
        <f t="shared" si="2"/>
        <v>112601192</v>
      </c>
      <c r="H165" s="1">
        <v>-5000000</v>
      </c>
    </row>
    <row r="166" spans="1:8">
      <c r="A166" s="2">
        <v>45777</v>
      </c>
      <c r="B166" t="s">
        <v>178</v>
      </c>
      <c r="C166" t="s">
        <v>20</v>
      </c>
      <c r="E166" t="s">
        <v>509</v>
      </c>
      <c r="F166" s="1">
        <f t="shared" ref="F166:F229" si="3">+F165+G165+H165</f>
        <v>107601192</v>
      </c>
      <c r="H166" s="1">
        <v>-5000000</v>
      </c>
    </row>
    <row r="167" spans="1:8">
      <c r="A167" s="2">
        <v>45777</v>
      </c>
      <c r="B167" t="s">
        <v>178</v>
      </c>
      <c r="C167" t="s">
        <v>20</v>
      </c>
      <c r="E167" t="s">
        <v>509</v>
      </c>
      <c r="F167" s="1">
        <f t="shared" si="3"/>
        <v>102601192</v>
      </c>
      <c r="H167" s="1">
        <v>-5000000</v>
      </c>
    </row>
    <row r="168" spans="1:8">
      <c r="A168" s="2">
        <v>45777</v>
      </c>
      <c r="B168" t="s">
        <v>178</v>
      </c>
      <c r="C168" t="s">
        <v>20</v>
      </c>
      <c r="E168" t="s">
        <v>509</v>
      </c>
      <c r="F168" s="1">
        <f t="shared" si="3"/>
        <v>97601192</v>
      </c>
      <c r="H168" s="1">
        <v>-5000000</v>
      </c>
    </row>
    <row r="169" spans="1:8">
      <c r="A169" s="2">
        <v>45777</v>
      </c>
      <c r="B169" t="s">
        <v>178</v>
      </c>
      <c r="C169" t="s">
        <v>20</v>
      </c>
      <c r="E169" t="s">
        <v>509</v>
      </c>
      <c r="F169" s="1">
        <f t="shared" si="3"/>
        <v>92601192</v>
      </c>
      <c r="H169" s="1">
        <v>-5000000</v>
      </c>
    </row>
    <row r="170" spans="1:8">
      <c r="A170" s="2">
        <v>45777</v>
      </c>
      <c r="B170" t="s">
        <v>178</v>
      </c>
      <c r="C170" t="s">
        <v>20</v>
      </c>
      <c r="E170" t="s">
        <v>509</v>
      </c>
      <c r="F170" s="1">
        <f t="shared" si="3"/>
        <v>87601192</v>
      </c>
      <c r="H170" s="1">
        <v>-5000000</v>
      </c>
    </row>
    <row r="171" spans="1:8">
      <c r="A171" s="2">
        <v>45777</v>
      </c>
      <c r="B171" t="s">
        <v>178</v>
      </c>
      <c r="C171" t="s">
        <v>20</v>
      </c>
      <c r="E171" t="s">
        <v>509</v>
      </c>
      <c r="F171" s="1">
        <f t="shared" si="3"/>
        <v>82601192</v>
      </c>
      <c r="H171" s="1">
        <v>-5000000</v>
      </c>
    </row>
    <row r="172" spans="1:8">
      <c r="A172" s="2">
        <v>45777</v>
      </c>
      <c r="B172" t="s">
        <v>178</v>
      </c>
      <c r="C172" t="s">
        <v>20</v>
      </c>
      <c r="E172" t="s">
        <v>509</v>
      </c>
      <c r="F172" s="1">
        <f t="shared" si="3"/>
        <v>77601192</v>
      </c>
      <c r="H172" s="1">
        <v>-5000000</v>
      </c>
    </row>
    <row r="173" spans="1:8">
      <c r="A173" s="2">
        <v>45777</v>
      </c>
      <c r="B173" t="s">
        <v>178</v>
      </c>
      <c r="C173" t="s">
        <v>20</v>
      </c>
      <c r="E173" t="s">
        <v>509</v>
      </c>
      <c r="F173" s="1">
        <f t="shared" si="3"/>
        <v>72601192</v>
      </c>
      <c r="H173" s="1">
        <v>-5000000</v>
      </c>
    </row>
    <row r="174" spans="1:8">
      <c r="A174" s="2">
        <v>45777</v>
      </c>
      <c r="B174" t="s">
        <v>178</v>
      </c>
      <c r="C174" t="s">
        <v>20</v>
      </c>
      <c r="E174" t="s">
        <v>509</v>
      </c>
      <c r="F174" s="1">
        <f t="shared" si="3"/>
        <v>67601192</v>
      </c>
      <c r="H174" s="1">
        <v>-5000000</v>
      </c>
    </row>
    <row r="175" spans="1:8">
      <c r="A175" s="2">
        <v>45777</v>
      </c>
      <c r="B175" t="s">
        <v>178</v>
      </c>
      <c r="C175" t="s">
        <v>20</v>
      </c>
      <c r="E175" t="s">
        <v>509</v>
      </c>
      <c r="F175" s="1">
        <f t="shared" si="3"/>
        <v>62601192</v>
      </c>
      <c r="H175" s="1">
        <v>-5000000</v>
      </c>
    </row>
    <row r="176" spans="1:8">
      <c r="A176" s="2">
        <v>45777</v>
      </c>
      <c r="B176" t="s">
        <v>178</v>
      </c>
      <c r="C176" t="s">
        <v>20</v>
      </c>
      <c r="E176" t="s">
        <v>509</v>
      </c>
      <c r="F176" s="1">
        <f t="shared" si="3"/>
        <v>57601192</v>
      </c>
      <c r="H176" s="1">
        <v>-5000000</v>
      </c>
    </row>
    <row r="177" spans="1:9">
      <c r="A177" s="2">
        <v>45777</v>
      </c>
      <c r="B177" t="s">
        <v>178</v>
      </c>
      <c r="C177" t="s">
        <v>20</v>
      </c>
      <c r="E177" t="s">
        <v>509</v>
      </c>
      <c r="F177" s="1">
        <f t="shared" si="3"/>
        <v>52601192</v>
      </c>
      <c r="H177" s="1">
        <v>-5000000</v>
      </c>
    </row>
    <row r="178" spans="1:9">
      <c r="A178" s="2">
        <v>45777</v>
      </c>
      <c r="B178" t="s">
        <v>178</v>
      </c>
      <c r="C178" t="s">
        <v>20</v>
      </c>
      <c r="E178" t="s">
        <v>509</v>
      </c>
      <c r="F178" s="1">
        <f t="shared" si="3"/>
        <v>47601192</v>
      </c>
      <c r="H178" s="1">
        <v>-5000000</v>
      </c>
    </row>
    <row r="179" spans="1:9">
      <c r="A179" s="2">
        <v>45777</v>
      </c>
      <c r="B179" t="s">
        <v>178</v>
      </c>
      <c r="C179" t="s">
        <v>20</v>
      </c>
      <c r="E179" t="s">
        <v>509</v>
      </c>
      <c r="F179" s="1">
        <f t="shared" si="3"/>
        <v>42601192</v>
      </c>
      <c r="H179" s="1">
        <v>-5000000</v>
      </c>
    </row>
    <row r="180" spans="1:9">
      <c r="A180" s="2">
        <v>45777</v>
      </c>
      <c r="B180" t="s">
        <v>178</v>
      </c>
      <c r="C180" t="s">
        <v>20</v>
      </c>
      <c r="E180" t="s">
        <v>509</v>
      </c>
      <c r="F180" s="1">
        <f t="shared" si="3"/>
        <v>37601192</v>
      </c>
      <c r="H180" s="1">
        <v>-5000000</v>
      </c>
    </row>
    <row r="181" spans="1:9">
      <c r="A181" s="2">
        <v>45777</v>
      </c>
      <c r="B181" t="s">
        <v>178</v>
      </c>
      <c r="C181" t="s">
        <v>20</v>
      </c>
      <c r="E181" t="s">
        <v>509</v>
      </c>
      <c r="F181" s="1">
        <f t="shared" si="3"/>
        <v>32601192</v>
      </c>
      <c r="H181" s="1">
        <v>-5000000</v>
      </c>
    </row>
    <row r="182" spans="1:9">
      <c r="A182" s="2">
        <v>45777</v>
      </c>
      <c r="B182" t="s">
        <v>178</v>
      </c>
      <c r="C182" t="s">
        <v>20</v>
      </c>
      <c r="E182" t="s">
        <v>509</v>
      </c>
      <c r="F182" s="1">
        <f t="shared" si="3"/>
        <v>27601192</v>
      </c>
      <c r="H182" s="1">
        <v>-5000000</v>
      </c>
    </row>
    <row r="183" spans="1:9">
      <c r="A183" s="2">
        <v>45777</v>
      </c>
      <c r="B183" t="s">
        <v>178</v>
      </c>
      <c r="C183" t="s">
        <v>20</v>
      </c>
      <c r="E183" t="s">
        <v>509</v>
      </c>
      <c r="F183" s="1">
        <f t="shared" si="3"/>
        <v>22601192</v>
      </c>
      <c r="H183" s="1">
        <v>-5000000</v>
      </c>
    </row>
    <row r="184" spans="1:9">
      <c r="A184" s="2">
        <v>45777</v>
      </c>
      <c r="B184" t="s">
        <v>178</v>
      </c>
      <c r="C184" t="s">
        <v>20</v>
      </c>
      <c r="E184" t="s">
        <v>509</v>
      </c>
      <c r="F184" s="1">
        <f t="shared" si="3"/>
        <v>17601192</v>
      </c>
      <c r="H184" s="1">
        <v>-5000000</v>
      </c>
    </row>
    <row r="185" spans="1:9">
      <c r="A185" s="2">
        <v>45779</v>
      </c>
      <c r="B185" t="s">
        <v>179</v>
      </c>
      <c r="C185" t="s">
        <v>9</v>
      </c>
      <c r="F185" s="1">
        <f t="shared" si="3"/>
        <v>12601192</v>
      </c>
      <c r="H185" s="1">
        <v>-1068750</v>
      </c>
      <c r="I185" t="s">
        <v>189</v>
      </c>
    </row>
    <row r="186" spans="1:9">
      <c r="A186" s="2">
        <v>45779</v>
      </c>
      <c r="B186" t="s">
        <v>37</v>
      </c>
      <c r="C186" t="s">
        <v>9</v>
      </c>
      <c r="F186" s="1">
        <f t="shared" si="3"/>
        <v>11532442</v>
      </c>
      <c r="H186" s="1">
        <v>-178500</v>
      </c>
      <c r="I186" t="s">
        <v>188</v>
      </c>
    </row>
    <row r="187" spans="1:9">
      <c r="A187" s="2">
        <v>45779</v>
      </c>
      <c r="B187" t="s">
        <v>91</v>
      </c>
      <c r="C187" t="s">
        <v>12</v>
      </c>
      <c r="D187" t="s">
        <v>194</v>
      </c>
      <c r="F187" s="1">
        <f t="shared" si="3"/>
        <v>11353942</v>
      </c>
      <c r="G187" s="1">
        <v>175000</v>
      </c>
      <c r="I187" t="s">
        <v>201</v>
      </c>
    </row>
    <row r="188" spans="1:9">
      <c r="A188" s="2">
        <v>45782</v>
      </c>
      <c r="B188" t="s">
        <v>44</v>
      </c>
      <c r="C188" t="s">
        <v>9</v>
      </c>
      <c r="F188" s="1">
        <f t="shared" si="3"/>
        <v>11528942</v>
      </c>
      <c r="H188" s="1">
        <v>-800000</v>
      </c>
      <c r="I188" t="s">
        <v>187</v>
      </c>
    </row>
    <row r="189" spans="1:9">
      <c r="A189" s="2">
        <v>45782</v>
      </c>
      <c r="B189" t="s">
        <v>41</v>
      </c>
      <c r="C189" t="s">
        <v>9</v>
      </c>
      <c r="F189" s="1">
        <f t="shared" si="3"/>
        <v>10728942</v>
      </c>
      <c r="H189" s="1">
        <v>-4000000</v>
      </c>
    </row>
    <row r="190" spans="1:9">
      <c r="A190" s="2">
        <v>45782</v>
      </c>
      <c r="B190" t="s">
        <v>41</v>
      </c>
      <c r="C190" t="s">
        <v>9</v>
      </c>
      <c r="F190" s="1">
        <f t="shared" si="3"/>
        <v>6728942</v>
      </c>
      <c r="H190" s="1">
        <v>-100000</v>
      </c>
      <c r="I190" t="s">
        <v>53</v>
      </c>
    </row>
    <row r="191" spans="1:9">
      <c r="A191" s="2">
        <v>45782</v>
      </c>
      <c r="B191" t="s">
        <v>180</v>
      </c>
      <c r="C191" t="s">
        <v>18</v>
      </c>
      <c r="F191" s="1">
        <f t="shared" si="3"/>
        <v>6628942</v>
      </c>
      <c r="H191" s="1">
        <v>-653</v>
      </c>
    </row>
    <row r="192" spans="1:9">
      <c r="A192" s="2">
        <v>45782</v>
      </c>
      <c r="B192" t="s">
        <v>183</v>
      </c>
      <c r="C192" t="s">
        <v>18</v>
      </c>
      <c r="F192" s="1">
        <f t="shared" si="3"/>
        <v>6628289</v>
      </c>
      <c r="H192" s="1">
        <v>-473</v>
      </c>
    </row>
    <row r="193" spans="1:9">
      <c r="A193" s="2">
        <v>45783</v>
      </c>
      <c r="B193" t="s">
        <v>108</v>
      </c>
      <c r="C193" t="s">
        <v>9</v>
      </c>
      <c r="E193" t="s">
        <v>462</v>
      </c>
      <c r="F193" s="1">
        <f t="shared" si="3"/>
        <v>6627816</v>
      </c>
      <c r="H193" s="1">
        <v>-2565000</v>
      </c>
      <c r="I193" t="s">
        <v>185</v>
      </c>
    </row>
    <row r="194" spans="1:9">
      <c r="A194" s="2">
        <v>45783</v>
      </c>
      <c r="B194" t="s">
        <v>181</v>
      </c>
      <c r="C194" t="s">
        <v>9</v>
      </c>
      <c r="F194" s="1">
        <f t="shared" si="3"/>
        <v>4062816</v>
      </c>
      <c r="H194" s="1">
        <v>-141152</v>
      </c>
      <c r="I194" t="s">
        <v>186</v>
      </c>
    </row>
    <row r="195" spans="1:9">
      <c r="A195" s="2">
        <v>45784</v>
      </c>
      <c r="B195" t="s">
        <v>40</v>
      </c>
      <c r="C195" t="s">
        <v>10</v>
      </c>
      <c r="F195" s="1">
        <f t="shared" si="3"/>
        <v>3921664</v>
      </c>
      <c r="H195" s="1">
        <v>-155500</v>
      </c>
    </row>
    <row r="196" spans="1:9">
      <c r="A196" s="2">
        <v>45785</v>
      </c>
      <c r="B196" t="s">
        <v>42</v>
      </c>
      <c r="C196" t="s">
        <v>10</v>
      </c>
      <c r="F196" s="1">
        <f t="shared" si="3"/>
        <v>3766164</v>
      </c>
      <c r="H196" s="1">
        <v>-60000</v>
      </c>
    </row>
    <row r="197" spans="1:9">
      <c r="A197" s="2">
        <v>45785</v>
      </c>
      <c r="B197" t="s">
        <v>182</v>
      </c>
      <c r="C197" t="s">
        <v>12</v>
      </c>
      <c r="F197" s="1">
        <f t="shared" si="3"/>
        <v>3706164</v>
      </c>
      <c r="H197" s="1">
        <v>-200000</v>
      </c>
      <c r="I197" t="s">
        <v>184</v>
      </c>
    </row>
    <row r="198" spans="1:9">
      <c r="A198" s="2">
        <v>45785</v>
      </c>
      <c r="B198" t="s">
        <v>85</v>
      </c>
      <c r="C198" t="s">
        <v>9</v>
      </c>
      <c r="F198" s="1">
        <f t="shared" si="3"/>
        <v>3506164</v>
      </c>
      <c r="H198" s="1">
        <v>-1334208</v>
      </c>
    </row>
    <row r="199" spans="1:9">
      <c r="A199" s="2">
        <v>45786</v>
      </c>
      <c r="B199" t="s">
        <v>39</v>
      </c>
      <c r="C199" t="s">
        <v>12</v>
      </c>
      <c r="F199" s="1">
        <f t="shared" si="3"/>
        <v>2171956</v>
      </c>
      <c r="G199" s="1">
        <v>6600000</v>
      </c>
    </row>
    <row r="200" spans="1:9">
      <c r="A200" s="2">
        <v>45789</v>
      </c>
      <c r="B200" t="s">
        <v>137</v>
      </c>
      <c r="C200" t="s">
        <v>16</v>
      </c>
      <c r="F200" s="1">
        <f t="shared" si="3"/>
        <v>8771956</v>
      </c>
      <c r="H200" s="1">
        <v>-7500000</v>
      </c>
    </row>
    <row r="201" spans="1:9">
      <c r="A201" s="2">
        <v>45789</v>
      </c>
      <c r="B201" t="s">
        <v>239</v>
      </c>
      <c r="C201" t="s">
        <v>9</v>
      </c>
      <c r="F201" s="1">
        <f t="shared" si="3"/>
        <v>1271956</v>
      </c>
      <c r="H201" s="1">
        <v>-50000</v>
      </c>
      <c r="I201" t="s">
        <v>263</v>
      </c>
    </row>
    <row r="202" spans="1:9">
      <c r="A202" s="2">
        <v>45790</v>
      </c>
      <c r="B202" t="s">
        <v>107</v>
      </c>
      <c r="C202" t="s">
        <v>9</v>
      </c>
      <c r="F202" s="1">
        <f t="shared" si="3"/>
        <v>1221956</v>
      </c>
      <c r="H202" s="1">
        <v>-1232157</v>
      </c>
      <c r="I202" t="s">
        <v>317</v>
      </c>
    </row>
    <row r="203" spans="1:9">
      <c r="A203" s="2">
        <v>45790</v>
      </c>
      <c r="B203" t="s">
        <v>161</v>
      </c>
      <c r="C203" t="s">
        <v>18</v>
      </c>
      <c r="F203" s="1">
        <f t="shared" si="3"/>
        <v>-10201</v>
      </c>
      <c r="G203" s="1">
        <v>10201</v>
      </c>
    </row>
    <row r="204" spans="1:9">
      <c r="A204" s="2">
        <v>45791</v>
      </c>
      <c r="B204" t="s">
        <v>88</v>
      </c>
      <c r="C204" t="s">
        <v>12</v>
      </c>
      <c r="F204" s="1">
        <f t="shared" si="3"/>
        <v>0</v>
      </c>
      <c r="G204" s="1">
        <v>200000</v>
      </c>
      <c r="I204" t="s">
        <v>59</v>
      </c>
    </row>
    <row r="205" spans="1:9">
      <c r="A205" s="2">
        <v>45791</v>
      </c>
      <c r="B205" t="s">
        <v>240</v>
      </c>
      <c r="C205" t="s">
        <v>18</v>
      </c>
      <c r="F205" s="1">
        <f t="shared" si="3"/>
        <v>200000</v>
      </c>
      <c r="H205" s="1">
        <v>-10201</v>
      </c>
    </row>
    <row r="206" spans="1:9">
      <c r="A206" s="2">
        <v>45791</v>
      </c>
      <c r="B206" t="s">
        <v>239</v>
      </c>
      <c r="C206" t="s">
        <v>9</v>
      </c>
      <c r="F206" s="1">
        <f t="shared" si="3"/>
        <v>189799</v>
      </c>
      <c r="H206" s="1">
        <v>-50000</v>
      </c>
      <c r="I206" t="s">
        <v>263</v>
      </c>
    </row>
    <row r="207" spans="1:9">
      <c r="A207" s="2">
        <v>45792</v>
      </c>
      <c r="B207" t="s">
        <v>241</v>
      </c>
      <c r="C207" t="s">
        <v>12</v>
      </c>
      <c r="F207" s="1">
        <f t="shared" si="3"/>
        <v>139799</v>
      </c>
      <c r="G207" s="1">
        <v>200000</v>
      </c>
      <c r="I207" t="s">
        <v>60</v>
      </c>
    </row>
    <row r="208" spans="1:9">
      <c r="A208" s="2">
        <v>45793</v>
      </c>
      <c r="B208" t="s">
        <v>242</v>
      </c>
      <c r="C208" t="s">
        <v>10</v>
      </c>
      <c r="F208" s="1">
        <f t="shared" si="3"/>
        <v>339799</v>
      </c>
      <c r="H208" s="1">
        <v>-133500</v>
      </c>
      <c r="I208" t="s">
        <v>292</v>
      </c>
    </row>
    <row r="209" spans="1:9">
      <c r="A209" s="2">
        <v>45793</v>
      </c>
      <c r="B209" t="s">
        <v>131</v>
      </c>
      <c r="C209" t="s">
        <v>12</v>
      </c>
      <c r="D209" t="s">
        <v>608</v>
      </c>
      <c r="F209" s="1">
        <f t="shared" si="3"/>
        <v>206299</v>
      </c>
      <c r="G209" s="1">
        <v>7000000</v>
      </c>
      <c r="I209" t="s">
        <v>264</v>
      </c>
    </row>
    <row r="210" spans="1:9">
      <c r="A210" s="2">
        <v>45793</v>
      </c>
      <c r="B210" t="s">
        <v>131</v>
      </c>
      <c r="C210" t="s">
        <v>12</v>
      </c>
      <c r="D210" t="s">
        <v>608</v>
      </c>
      <c r="F210" s="1">
        <f t="shared" si="3"/>
        <v>7206299</v>
      </c>
      <c r="G210" s="1">
        <v>3000000</v>
      </c>
      <c r="I210" t="s">
        <v>265</v>
      </c>
    </row>
    <row r="211" spans="1:9">
      <c r="A211" s="2">
        <v>45793</v>
      </c>
      <c r="B211" t="s">
        <v>239</v>
      </c>
      <c r="C211" t="s">
        <v>9</v>
      </c>
      <c r="F211" s="1">
        <f t="shared" si="3"/>
        <v>10206299</v>
      </c>
      <c r="H211" s="1">
        <v>-50000</v>
      </c>
      <c r="I211" t="s">
        <v>266</v>
      </c>
    </row>
    <row r="212" spans="1:9">
      <c r="A212" s="2">
        <v>45793</v>
      </c>
      <c r="B212" t="s">
        <v>239</v>
      </c>
      <c r="C212" t="s">
        <v>9</v>
      </c>
      <c r="F212" s="1">
        <f t="shared" si="3"/>
        <v>10156299</v>
      </c>
      <c r="H212" s="1">
        <v>-47000</v>
      </c>
      <c r="I212" t="s">
        <v>267</v>
      </c>
    </row>
    <row r="213" spans="1:9">
      <c r="A213" s="2">
        <v>45796</v>
      </c>
      <c r="B213" t="s">
        <v>243</v>
      </c>
      <c r="C213" t="s">
        <v>12</v>
      </c>
      <c r="F213" s="1">
        <f t="shared" si="3"/>
        <v>10109299</v>
      </c>
      <c r="G213" s="1">
        <v>200000</v>
      </c>
      <c r="I213" t="s">
        <v>268</v>
      </c>
    </row>
    <row r="214" spans="1:9">
      <c r="A214" s="2">
        <v>45797</v>
      </c>
      <c r="B214" t="s">
        <v>244</v>
      </c>
      <c r="C214" t="s">
        <v>12</v>
      </c>
      <c r="F214" s="1">
        <f t="shared" si="3"/>
        <v>10309299</v>
      </c>
      <c r="G214" s="1">
        <v>200000</v>
      </c>
      <c r="I214" t="s">
        <v>269</v>
      </c>
    </row>
    <row r="215" spans="1:9">
      <c r="A215" s="2">
        <v>45797</v>
      </c>
      <c r="B215" t="s">
        <v>137</v>
      </c>
      <c r="C215" t="s">
        <v>16</v>
      </c>
      <c r="F215" s="1">
        <f t="shared" si="3"/>
        <v>10509299</v>
      </c>
      <c r="H215" s="1">
        <v>-10000000</v>
      </c>
    </row>
    <row r="216" spans="1:9">
      <c r="A216" s="2">
        <v>45797</v>
      </c>
      <c r="B216" t="s">
        <v>133</v>
      </c>
      <c r="C216" t="s">
        <v>12</v>
      </c>
      <c r="D216" t="s">
        <v>198</v>
      </c>
      <c r="F216" s="1">
        <f t="shared" si="3"/>
        <v>509299</v>
      </c>
      <c r="G216" s="1">
        <v>4800000</v>
      </c>
      <c r="I216" t="s">
        <v>270</v>
      </c>
    </row>
    <row r="217" spans="1:9">
      <c r="A217" s="2">
        <v>45799</v>
      </c>
      <c r="B217" t="s">
        <v>245</v>
      </c>
      <c r="C217" t="s">
        <v>9</v>
      </c>
      <c r="F217" s="1">
        <f t="shared" si="3"/>
        <v>5309299</v>
      </c>
      <c r="H217" s="1">
        <v>-149376</v>
      </c>
      <c r="I217" t="s">
        <v>293</v>
      </c>
    </row>
    <row r="218" spans="1:9">
      <c r="A218" s="2">
        <v>45799</v>
      </c>
      <c r="B218" t="s">
        <v>245</v>
      </c>
      <c r="C218" t="s">
        <v>9</v>
      </c>
      <c r="F218" s="1">
        <f t="shared" si="3"/>
        <v>5159923</v>
      </c>
      <c r="H218" s="1">
        <v>-133816</v>
      </c>
      <c r="I218" t="s">
        <v>294</v>
      </c>
    </row>
    <row r="219" spans="1:9">
      <c r="A219" s="2">
        <v>45799</v>
      </c>
      <c r="B219" t="s">
        <v>245</v>
      </c>
      <c r="C219" t="s">
        <v>9</v>
      </c>
      <c r="F219" s="1">
        <f t="shared" si="3"/>
        <v>5026107</v>
      </c>
      <c r="H219" s="1">
        <v>-152656</v>
      </c>
      <c r="I219" t="s">
        <v>295</v>
      </c>
    </row>
    <row r="220" spans="1:9">
      <c r="A220" s="2">
        <v>45803</v>
      </c>
      <c r="B220" t="s">
        <v>246</v>
      </c>
      <c r="C220" t="s">
        <v>12</v>
      </c>
      <c r="F220" s="1">
        <f t="shared" si="3"/>
        <v>4873451</v>
      </c>
      <c r="G220" s="1">
        <v>200000</v>
      </c>
      <c r="I220" t="s">
        <v>271</v>
      </c>
    </row>
    <row r="221" spans="1:9">
      <c r="A221" s="2">
        <v>45803</v>
      </c>
      <c r="B221" t="s">
        <v>247</v>
      </c>
      <c r="C221" t="s">
        <v>12</v>
      </c>
      <c r="F221" s="1">
        <f t="shared" si="3"/>
        <v>5073451</v>
      </c>
      <c r="G221" s="1">
        <v>21800000</v>
      </c>
      <c r="I221" t="s">
        <v>272</v>
      </c>
    </row>
    <row r="222" spans="1:9">
      <c r="A222" s="2">
        <v>45804</v>
      </c>
      <c r="B222" t="s">
        <v>137</v>
      </c>
      <c r="C222" t="s">
        <v>16</v>
      </c>
      <c r="F222" s="1">
        <f t="shared" si="3"/>
        <v>26873451</v>
      </c>
      <c r="H222" s="1">
        <v>-25000000</v>
      </c>
    </row>
    <row r="223" spans="1:9">
      <c r="A223" s="2">
        <v>45804</v>
      </c>
      <c r="B223" t="s">
        <v>248</v>
      </c>
      <c r="C223" t="s">
        <v>12</v>
      </c>
      <c r="F223" s="1">
        <f t="shared" si="3"/>
        <v>1873451</v>
      </c>
      <c r="G223" s="1">
        <v>300000</v>
      </c>
      <c r="I223" t="s">
        <v>296</v>
      </c>
    </row>
    <row r="224" spans="1:9">
      <c r="A224" s="2">
        <v>45805</v>
      </c>
      <c r="B224" t="s">
        <v>249</v>
      </c>
      <c r="C224" t="s">
        <v>9</v>
      </c>
      <c r="F224" s="1">
        <f t="shared" si="3"/>
        <v>2173451</v>
      </c>
      <c r="H224" s="1">
        <v>-500000</v>
      </c>
    </row>
    <row r="225" spans="1:9">
      <c r="A225" s="2">
        <v>45805</v>
      </c>
      <c r="B225" t="s">
        <v>245</v>
      </c>
      <c r="C225" t="s">
        <v>9</v>
      </c>
      <c r="F225" s="1">
        <f t="shared" si="3"/>
        <v>1673451</v>
      </c>
      <c r="H225" s="1">
        <v>-590166</v>
      </c>
      <c r="I225" t="s">
        <v>297</v>
      </c>
    </row>
    <row r="226" spans="1:9">
      <c r="A226" s="2">
        <v>45805</v>
      </c>
      <c r="B226" t="s">
        <v>250</v>
      </c>
      <c r="C226" t="s">
        <v>9</v>
      </c>
      <c r="F226" s="1">
        <f t="shared" si="3"/>
        <v>1083285</v>
      </c>
      <c r="H226" s="1">
        <v>-50990</v>
      </c>
      <c r="I226" t="s">
        <v>298</v>
      </c>
    </row>
    <row r="227" spans="1:9">
      <c r="A227" s="2">
        <v>45805</v>
      </c>
      <c r="B227" t="s">
        <v>248</v>
      </c>
      <c r="C227" t="s">
        <v>12</v>
      </c>
      <c r="F227" s="1">
        <f t="shared" si="3"/>
        <v>1032295</v>
      </c>
      <c r="G227" s="1">
        <v>4500000</v>
      </c>
      <c r="I227" t="s">
        <v>296</v>
      </c>
    </row>
    <row r="228" spans="1:9">
      <c r="A228" s="2">
        <v>45806</v>
      </c>
      <c r="B228" t="s">
        <v>179</v>
      </c>
      <c r="C228" t="s">
        <v>9</v>
      </c>
      <c r="F228" s="1">
        <f t="shared" si="3"/>
        <v>5532295</v>
      </c>
      <c r="H228" s="1">
        <v>-940500</v>
      </c>
      <c r="I228" t="s">
        <v>273</v>
      </c>
    </row>
    <row r="229" spans="1:9">
      <c r="A229" s="2">
        <v>45807</v>
      </c>
      <c r="B229" t="s">
        <v>239</v>
      </c>
      <c r="C229" t="s">
        <v>9</v>
      </c>
      <c r="F229" s="1">
        <f t="shared" si="3"/>
        <v>4591795</v>
      </c>
      <c r="H229" s="1">
        <v>-50000</v>
      </c>
      <c r="I229" t="s">
        <v>274</v>
      </c>
    </row>
    <row r="230" spans="1:9">
      <c r="A230" s="2">
        <v>45807</v>
      </c>
      <c r="B230" t="s">
        <v>133</v>
      </c>
      <c r="C230" t="s">
        <v>9</v>
      </c>
      <c r="D230" t="s">
        <v>198</v>
      </c>
      <c r="F230" s="1">
        <f t="shared" ref="F230:F293" si="4">+F229+G229+H229</f>
        <v>4541795</v>
      </c>
      <c r="G230" s="1">
        <v>313500</v>
      </c>
      <c r="I230" t="s">
        <v>275</v>
      </c>
    </row>
    <row r="231" spans="1:9">
      <c r="A231" s="2">
        <v>45807</v>
      </c>
      <c r="B231" t="s">
        <v>133</v>
      </c>
      <c r="C231" t="s">
        <v>9</v>
      </c>
      <c r="D231" t="s">
        <v>198</v>
      </c>
      <c r="F231" s="1">
        <f t="shared" si="4"/>
        <v>4855295</v>
      </c>
      <c r="G231" s="1">
        <v>1000</v>
      </c>
    </row>
    <row r="232" spans="1:9">
      <c r="A232" s="2">
        <v>45807</v>
      </c>
      <c r="B232" t="s">
        <v>245</v>
      </c>
      <c r="C232" t="s">
        <v>9</v>
      </c>
      <c r="F232" s="1">
        <f t="shared" si="4"/>
        <v>4856295</v>
      </c>
      <c r="H232" s="1">
        <v>-499026</v>
      </c>
      <c r="I232" t="s">
        <v>299</v>
      </c>
    </row>
    <row r="233" spans="1:9">
      <c r="A233" s="2">
        <v>45807</v>
      </c>
      <c r="B233" t="s">
        <v>40</v>
      </c>
      <c r="C233" t="s">
        <v>9</v>
      </c>
      <c r="F233" s="1">
        <f t="shared" si="4"/>
        <v>4357269</v>
      </c>
      <c r="H233" s="1">
        <v>-313500</v>
      </c>
      <c r="I233" t="s">
        <v>276</v>
      </c>
    </row>
    <row r="234" spans="1:9">
      <c r="A234" s="2">
        <v>45807</v>
      </c>
      <c r="B234" t="s">
        <v>251</v>
      </c>
      <c r="C234" t="s">
        <v>12</v>
      </c>
      <c r="F234" s="1">
        <f t="shared" si="4"/>
        <v>4043769</v>
      </c>
      <c r="G234" s="1">
        <v>21300000</v>
      </c>
      <c r="I234" t="s">
        <v>277</v>
      </c>
    </row>
    <row r="235" spans="1:9">
      <c r="A235" s="2">
        <v>45810</v>
      </c>
      <c r="B235" t="s">
        <v>252</v>
      </c>
      <c r="C235" t="s">
        <v>12</v>
      </c>
      <c r="F235" s="1">
        <f t="shared" si="4"/>
        <v>25343769</v>
      </c>
      <c r="G235" s="1">
        <v>200000</v>
      </c>
      <c r="I235" t="s">
        <v>143</v>
      </c>
    </row>
    <row r="236" spans="1:9">
      <c r="A236" s="2">
        <v>45810</v>
      </c>
      <c r="B236" t="s">
        <v>112</v>
      </c>
      <c r="C236" t="s">
        <v>12</v>
      </c>
      <c r="D236" t="s">
        <v>192</v>
      </c>
      <c r="F236" s="1">
        <f t="shared" si="4"/>
        <v>25543769</v>
      </c>
      <c r="G236" s="1">
        <v>1125465</v>
      </c>
      <c r="I236" t="s">
        <v>301</v>
      </c>
    </row>
    <row r="237" spans="1:9">
      <c r="A237" s="2">
        <v>45810</v>
      </c>
      <c r="B237" t="s">
        <v>41</v>
      </c>
      <c r="C237" t="s">
        <v>9</v>
      </c>
      <c r="F237" s="1">
        <f t="shared" si="4"/>
        <v>26669234</v>
      </c>
      <c r="H237" s="1">
        <v>-100000</v>
      </c>
      <c r="I237" t="s">
        <v>53</v>
      </c>
    </row>
    <row r="238" spans="1:9">
      <c r="A238" s="2">
        <v>45810</v>
      </c>
      <c r="B238" t="s">
        <v>41</v>
      </c>
      <c r="C238" t="s">
        <v>9</v>
      </c>
      <c r="F238" s="1">
        <f t="shared" si="4"/>
        <v>26569234</v>
      </c>
      <c r="H238" s="1">
        <v>-4000000</v>
      </c>
    </row>
    <row r="239" spans="1:9">
      <c r="A239" s="2">
        <v>45811</v>
      </c>
      <c r="B239" t="s">
        <v>88</v>
      </c>
      <c r="C239" t="s">
        <v>12</v>
      </c>
      <c r="F239" s="1">
        <f t="shared" si="4"/>
        <v>22569234</v>
      </c>
      <c r="G239" s="1">
        <v>4500000</v>
      </c>
      <c r="I239" t="s">
        <v>278</v>
      </c>
    </row>
    <row r="240" spans="1:9">
      <c r="A240" s="2">
        <v>45811</v>
      </c>
      <c r="B240" t="s">
        <v>253</v>
      </c>
      <c r="C240" t="s">
        <v>9</v>
      </c>
      <c r="F240" s="1">
        <f t="shared" si="4"/>
        <v>27069234</v>
      </c>
      <c r="H240" s="1">
        <v>-752400</v>
      </c>
      <c r="I240" t="s">
        <v>279</v>
      </c>
    </row>
    <row r="241" spans="1:9">
      <c r="A241" s="2">
        <v>45811</v>
      </c>
      <c r="B241" t="s">
        <v>44</v>
      </c>
      <c r="C241" t="s">
        <v>9</v>
      </c>
      <c r="F241" s="1">
        <f t="shared" si="4"/>
        <v>26316834</v>
      </c>
      <c r="H241" s="1">
        <v>-3234800</v>
      </c>
      <c r="I241" t="s">
        <v>158</v>
      </c>
    </row>
    <row r="242" spans="1:9">
      <c r="A242" s="2">
        <v>45811</v>
      </c>
      <c r="B242" t="s">
        <v>44</v>
      </c>
      <c r="C242" t="s">
        <v>9</v>
      </c>
      <c r="F242" s="1">
        <f t="shared" si="4"/>
        <v>23082034</v>
      </c>
      <c r="H242" s="1">
        <v>-1406580</v>
      </c>
      <c r="I242" t="s">
        <v>280</v>
      </c>
    </row>
    <row r="243" spans="1:9">
      <c r="A243" s="2">
        <v>45811</v>
      </c>
      <c r="B243" t="s">
        <v>44</v>
      </c>
      <c r="C243" t="s">
        <v>9</v>
      </c>
      <c r="F243" s="1">
        <f t="shared" si="4"/>
        <v>21675454</v>
      </c>
      <c r="H243" s="1">
        <v>-5000000</v>
      </c>
      <c r="I243" t="s">
        <v>158</v>
      </c>
    </row>
    <row r="244" spans="1:9">
      <c r="A244" s="2">
        <v>45811</v>
      </c>
      <c r="B244" t="s">
        <v>249</v>
      </c>
      <c r="C244" t="s">
        <v>9</v>
      </c>
      <c r="F244" s="1">
        <f t="shared" si="4"/>
        <v>16675454</v>
      </c>
      <c r="H244" s="1">
        <v>-500000</v>
      </c>
    </row>
    <row r="245" spans="1:9">
      <c r="A245" s="2">
        <v>45811</v>
      </c>
      <c r="B245" t="s">
        <v>88</v>
      </c>
      <c r="C245" t="s">
        <v>12</v>
      </c>
      <c r="F245" s="1">
        <f t="shared" si="4"/>
        <v>16175454</v>
      </c>
      <c r="G245" s="1">
        <v>4500000</v>
      </c>
      <c r="I245" t="s">
        <v>281</v>
      </c>
    </row>
    <row r="246" spans="1:9">
      <c r="A246" s="2">
        <v>45811</v>
      </c>
      <c r="B246" t="s">
        <v>179</v>
      </c>
      <c r="C246" t="s">
        <v>9</v>
      </c>
      <c r="F246" s="1">
        <f t="shared" si="4"/>
        <v>20675454</v>
      </c>
      <c r="H246" s="1">
        <v>-919125</v>
      </c>
      <c r="I246" t="s">
        <v>282</v>
      </c>
    </row>
    <row r="247" spans="1:9">
      <c r="A247" s="2">
        <v>45811</v>
      </c>
      <c r="B247" t="s">
        <v>108</v>
      </c>
      <c r="C247" t="s">
        <v>9</v>
      </c>
      <c r="E247" t="s">
        <v>462</v>
      </c>
      <c r="F247" s="1">
        <f t="shared" si="4"/>
        <v>19756329</v>
      </c>
      <c r="H247" s="1">
        <v>-855000</v>
      </c>
    </row>
    <row r="248" spans="1:9">
      <c r="A248" s="2">
        <v>45811</v>
      </c>
      <c r="B248" t="s">
        <v>180</v>
      </c>
      <c r="C248" t="s">
        <v>18</v>
      </c>
      <c r="F248" s="1">
        <f t="shared" si="4"/>
        <v>18901329</v>
      </c>
      <c r="H248" s="1">
        <v>-7</v>
      </c>
    </row>
    <row r="249" spans="1:9">
      <c r="A249" s="2">
        <v>45811</v>
      </c>
      <c r="B249" t="s">
        <v>183</v>
      </c>
      <c r="C249" t="s">
        <v>18</v>
      </c>
      <c r="F249" s="1">
        <f t="shared" si="4"/>
        <v>18901322</v>
      </c>
      <c r="H249" s="1">
        <v>-5</v>
      </c>
    </row>
    <row r="250" spans="1:9">
      <c r="A250" s="2">
        <v>45812</v>
      </c>
      <c r="B250" t="s">
        <v>181</v>
      </c>
      <c r="C250" t="s">
        <v>9</v>
      </c>
      <c r="F250" s="1">
        <f t="shared" si="4"/>
        <v>18901317</v>
      </c>
      <c r="H250" s="1">
        <v>-216140</v>
      </c>
      <c r="I250" t="s">
        <v>283</v>
      </c>
    </row>
    <row r="251" spans="1:9">
      <c r="A251" s="2">
        <v>45812</v>
      </c>
      <c r="B251" t="s">
        <v>137</v>
      </c>
      <c r="C251" t="s">
        <v>16</v>
      </c>
      <c r="F251" s="1">
        <f t="shared" si="4"/>
        <v>18685177</v>
      </c>
      <c r="H251" s="1">
        <v>-18000000</v>
      </c>
    </row>
    <row r="252" spans="1:9">
      <c r="A252" s="2">
        <v>45812</v>
      </c>
      <c r="B252" t="s">
        <v>91</v>
      </c>
      <c r="C252" t="s">
        <v>12</v>
      </c>
      <c r="D252" t="s">
        <v>194</v>
      </c>
      <c r="F252" s="1">
        <f t="shared" si="4"/>
        <v>685177</v>
      </c>
      <c r="G252" s="1">
        <v>375000</v>
      </c>
      <c r="I252" t="s">
        <v>300</v>
      </c>
    </row>
    <row r="253" spans="1:9">
      <c r="A253" s="2">
        <v>45812</v>
      </c>
      <c r="B253" t="s">
        <v>254</v>
      </c>
      <c r="C253" t="s">
        <v>12</v>
      </c>
      <c r="F253" s="1">
        <f t="shared" si="4"/>
        <v>1060177</v>
      </c>
      <c r="G253" s="1">
        <v>20000000</v>
      </c>
      <c r="I253" t="s">
        <v>286</v>
      </c>
    </row>
    <row r="254" spans="1:9">
      <c r="A254" s="2">
        <v>45812</v>
      </c>
      <c r="B254" t="s">
        <v>255</v>
      </c>
      <c r="C254" t="s">
        <v>12</v>
      </c>
      <c r="F254" s="1">
        <f t="shared" si="4"/>
        <v>21060177</v>
      </c>
      <c r="H254" s="1">
        <v>-44500</v>
      </c>
      <c r="I254" t="s">
        <v>287</v>
      </c>
    </row>
    <row r="255" spans="1:9">
      <c r="A255" s="2">
        <v>45812</v>
      </c>
      <c r="B255" t="s">
        <v>284</v>
      </c>
      <c r="C255" t="s">
        <v>12</v>
      </c>
      <c r="F255" s="1">
        <f t="shared" si="4"/>
        <v>21015677</v>
      </c>
      <c r="G255" s="1">
        <v>41100000</v>
      </c>
      <c r="I255" t="s">
        <v>288</v>
      </c>
    </row>
    <row r="256" spans="1:9">
      <c r="A256" s="2">
        <v>45812</v>
      </c>
      <c r="B256" t="s">
        <v>285</v>
      </c>
      <c r="C256" t="s">
        <v>12</v>
      </c>
      <c r="F256" s="1">
        <f t="shared" si="4"/>
        <v>62115677</v>
      </c>
      <c r="G256" s="1">
        <v>21800000</v>
      </c>
      <c r="I256" t="s">
        <v>289</v>
      </c>
    </row>
    <row r="257" spans="1:9">
      <c r="A257" s="2">
        <v>45813</v>
      </c>
      <c r="B257" t="s">
        <v>256</v>
      </c>
      <c r="C257" t="s">
        <v>9</v>
      </c>
      <c r="F257" s="1">
        <f t="shared" si="4"/>
        <v>83915677</v>
      </c>
      <c r="H257" s="1">
        <v>-75000</v>
      </c>
      <c r="I257" t="s">
        <v>290</v>
      </c>
    </row>
    <row r="258" spans="1:9">
      <c r="A258" s="2">
        <v>45813</v>
      </c>
      <c r="B258" t="s">
        <v>88</v>
      </c>
      <c r="C258" t="s">
        <v>12</v>
      </c>
      <c r="F258" s="1">
        <f t="shared" si="4"/>
        <v>83840677</v>
      </c>
      <c r="G258" s="1">
        <v>4500000</v>
      </c>
      <c r="I258" t="s">
        <v>291</v>
      </c>
    </row>
    <row r="259" spans="1:9">
      <c r="A259" s="2">
        <v>45813</v>
      </c>
      <c r="B259" t="s">
        <v>150</v>
      </c>
      <c r="C259" t="s">
        <v>16</v>
      </c>
      <c r="F259" s="1">
        <f t="shared" si="4"/>
        <v>88340677</v>
      </c>
      <c r="G259" s="1">
        <v>18000000</v>
      </c>
    </row>
    <row r="260" spans="1:9">
      <c r="A260" s="2">
        <v>45813</v>
      </c>
      <c r="B260" t="s">
        <v>150</v>
      </c>
      <c r="C260" t="s">
        <v>16</v>
      </c>
      <c r="F260" s="1">
        <f t="shared" si="4"/>
        <v>106340677</v>
      </c>
      <c r="G260" s="1">
        <v>23000001</v>
      </c>
    </row>
    <row r="261" spans="1:9">
      <c r="A261" s="2">
        <v>45813</v>
      </c>
      <c r="B261" t="s">
        <v>151</v>
      </c>
      <c r="C261" t="s">
        <v>9</v>
      </c>
      <c r="F261" s="1">
        <f t="shared" si="4"/>
        <v>129340678</v>
      </c>
      <c r="G261" s="1">
        <v>155500</v>
      </c>
      <c r="I261" t="s">
        <v>261</v>
      </c>
    </row>
    <row r="262" spans="1:9">
      <c r="A262" s="2">
        <v>45814</v>
      </c>
      <c r="B262" t="s">
        <v>88</v>
      </c>
      <c r="C262" t="s">
        <v>12</v>
      </c>
      <c r="F262" s="1">
        <f t="shared" si="4"/>
        <v>129496178</v>
      </c>
      <c r="G262" s="1">
        <v>4500000</v>
      </c>
    </row>
    <row r="263" spans="1:9">
      <c r="A263" s="2">
        <v>45814</v>
      </c>
      <c r="B263" t="s">
        <v>257</v>
      </c>
      <c r="C263" t="s">
        <v>9</v>
      </c>
      <c r="F263" s="1">
        <f t="shared" si="4"/>
        <v>133996178</v>
      </c>
      <c r="H263" s="1">
        <v>-200000</v>
      </c>
    </row>
    <row r="264" spans="1:9">
      <c r="A264" s="2">
        <v>45814</v>
      </c>
      <c r="B264" t="s">
        <v>40</v>
      </c>
      <c r="C264" t="s">
        <v>9</v>
      </c>
      <c r="F264" s="1">
        <f t="shared" si="4"/>
        <v>133796178</v>
      </c>
      <c r="H264" s="1">
        <v>-155500</v>
      </c>
      <c r="I264" t="s">
        <v>262</v>
      </c>
    </row>
    <row r="265" spans="1:9">
      <c r="A265" s="2">
        <v>45814</v>
      </c>
      <c r="B265" t="s">
        <v>42</v>
      </c>
      <c r="C265" t="s">
        <v>12</v>
      </c>
      <c r="F265" s="1">
        <f t="shared" si="4"/>
        <v>133640678</v>
      </c>
      <c r="H265" s="1">
        <v>-160000</v>
      </c>
      <c r="I265" t="s">
        <v>260</v>
      </c>
    </row>
    <row r="266" spans="1:9">
      <c r="A266" s="2">
        <v>45814</v>
      </c>
      <c r="B266" t="s">
        <v>258</v>
      </c>
      <c r="C266" t="s">
        <v>12</v>
      </c>
      <c r="F266" s="1">
        <f t="shared" si="4"/>
        <v>133480678</v>
      </c>
      <c r="H266" s="1">
        <v>-40000</v>
      </c>
      <c r="I266" t="s">
        <v>259</v>
      </c>
    </row>
    <row r="267" spans="1:9">
      <c r="A267" s="2">
        <v>45814</v>
      </c>
      <c r="B267" t="s">
        <v>90</v>
      </c>
      <c r="C267" t="s">
        <v>12</v>
      </c>
      <c r="D267" t="s">
        <v>193</v>
      </c>
      <c r="F267" s="1">
        <f t="shared" si="4"/>
        <v>133440678</v>
      </c>
      <c r="G267" s="1">
        <v>844174</v>
      </c>
    </row>
    <row r="268" spans="1:9">
      <c r="A268" s="2">
        <v>45814</v>
      </c>
      <c r="B268" t="s">
        <v>88</v>
      </c>
      <c r="C268" t="s">
        <v>12</v>
      </c>
      <c r="F268" s="1">
        <f t="shared" si="4"/>
        <v>134284852</v>
      </c>
      <c r="G268" s="1">
        <v>1800000</v>
      </c>
    </row>
    <row r="269" spans="1:9">
      <c r="A269" s="2">
        <v>45814</v>
      </c>
      <c r="B269" t="s">
        <v>178</v>
      </c>
      <c r="C269" t="s">
        <v>20</v>
      </c>
      <c r="E269" t="s">
        <v>509</v>
      </c>
      <c r="F269" s="1">
        <f t="shared" si="4"/>
        <v>136084852</v>
      </c>
      <c r="H269" s="1">
        <v>-118348443</v>
      </c>
      <c r="I269" t="s">
        <v>313</v>
      </c>
    </row>
    <row r="270" spans="1:9">
      <c r="A270" s="2">
        <v>45814</v>
      </c>
      <c r="B270" t="s">
        <v>170</v>
      </c>
      <c r="C270" t="s">
        <v>12</v>
      </c>
      <c r="F270" s="1">
        <f t="shared" si="4"/>
        <v>17736409</v>
      </c>
      <c r="G270" s="1">
        <v>4800000</v>
      </c>
      <c r="I270" t="s">
        <v>314</v>
      </c>
    </row>
    <row r="271" spans="1:9">
      <c r="A271" s="2">
        <v>45817</v>
      </c>
      <c r="B271" t="s">
        <v>108</v>
      </c>
      <c r="C271" t="s">
        <v>9</v>
      </c>
      <c r="E271" t="s">
        <v>462</v>
      </c>
      <c r="F271" s="1">
        <f t="shared" si="4"/>
        <v>22536409</v>
      </c>
      <c r="H271" s="1">
        <v>-2565000</v>
      </c>
    </row>
    <row r="272" spans="1:9">
      <c r="A272" s="2">
        <v>45817</v>
      </c>
      <c r="B272" t="s">
        <v>179</v>
      </c>
      <c r="C272" t="s">
        <v>9</v>
      </c>
      <c r="F272" s="1">
        <f t="shared" si="4"/>
        <v>19971409</v>
      </c>
      <c r="H272" s="1">
        <v>-1859625</v>
      </c>
    </row>
    <row r="273" spans="1:9">
      <c r="A273" s="2">
        <v>45817</v>
      </c>
      <c r="B273" t="s">
        <v>302</v>
      </c>
      <c r="C273" t="s">
        <v>9</v>
      </c>
      <c r="F273" s="1">
        <f t="shared" si="4"/>
        <v>18111784</v>
      </c>
      <c r="H273" s="1">
        <v>-50000</v>
      </c>
      <c r="I273" t="s">
        <v>315</v>
      </c>
    </row>
    <row r="274" spans="1:9">
      <c r="A274" s="2">
        <v>45817</v>
      </c>
      <c r="B274" t="s">
        <v>137</v>
      </c>
      <c r="C274" t="s">
        <v>16</v>
      </c>
      <c r="F274" s="1">
        <f t="shared" si="4"/>
        <v>18061784</v>
      </c>
      <c r="H274" s="1">
        <v>-16000000</v>
      </c>
    </row>
    <row r="275" spans="1:9">
      <c r="A275" s="2">
        <v>45817</v>
      </c>
      <c r="B275" t="s">
        <v>85</v>
      </c>
      <c r="C275" t="s">
        <v>9</v>
      </c>
      <c r="F275" s="1">
        <f t="shared" si="4"/>
        <v>2061784</v>
      </c>
      <c r="H275" s="1">
        <v>-498867</v>
      </c>
    </row>
    <row r="276" spans="1:9">
      <c r="A276" s="2">
        <v>45818</v>
      </c>
      <c r="B276" t="s">
        <v>303</v>
      </c>
      <c r="C276" t="s">
        <v>9</v>
      </c>
      <c r="F276" s="1">
        <f t="shared" si="4"/>
        <v>1562917</v>
      </c>
      <c r="H276" s="1">
        <v>-100035</v>
      </c>
      <c r="I276" t="s">
        <v>316</v>
      </c>
    </row>
    <row r="277" spans="1:9">
      <c r="A277" s="2">
        <v>45818</v>
      </c>
      <c r="B277" t="s">
        <v>150</v>
      </c>
      <c r="C277" t="s">
        <v>16</v>
      </c>
      <c r="F277" s="1">
        <f t="shared" si="4"/>
        <v>1462882</v>
      </c>
      <c r="G277" s="1">
        <v>16000000</v>
      </c>
    </row>
    <row r="278" spans="1:9">
      <c r="A278" s="2">
        <v>45818</v>
      </c>
      <c r="B278" t="s">
        <v>150</v>
      </c>
      <c r="C278" t="s">
        <v>16</v>
      </c>
      <c r="F278" s="1">
        <f t="shared" si="4"/>
        <v>17462882</v>
      </c>
      <c r="G278" s="1">
        <v>19569256</v>
      </c>
    </row>
    <row r="279" spans="1:9">
      <c r="A279" s="2">
        <v>45818</v>
      </c>
      <c r="B279" t="s">
        <v>107</v>
      </c>
      <c r="C279" t="s">
        <v>9</v>
      </c>
      <c r="F279" s="1">
        <f t="shared" si="4"/>
        <v>37032138</v>
      </c>
      <c r="H279" s="1">
        <v>-894739</v>
      </c>
      <c r="I279" t="s">
        <v>317</v>
      </c>
    </row>
    <row r="280" spans="1:9">
      <c r="A280" s="2">
        <v>45818</v>
      </c>
      <c r="B280" t="s">
        <v>304</v>
      </c>
      <c r="C280" t="s">
        <v>12</v>
      </c>
      <c r="F280" s="1">
        <f t="shared" si="4"/>
        <v>36137399</v>
      </c>
      <c r="G280" s="1">
        <v>19800000</v>
      </c>
      <c r="I280" t="s">
        <v>403</v>
      </c>
    </row>
    <row r="281" spans="1:9">
      <c r="A281" s="2">
        <v>45819</v>
      </c>
      <c r="B281" t="s">
        <v>166</v>
      </c>
      <c r="C281" t="s">
        <v>9</v>
      </c>
      <c r="F281" s="1">
        <f t="shared" si="4"/>
        <v>55937399</v>
      </c>
      <c r="H281" s="1">
        <v>-351268</v>
      </c>
      <c r="I281" t="s">
        <v>318</v>
      </c>
    </row>
    <row r="282" spans="1:9">
      <c r="A282" s="2">
        <v>45819</v>
      </c>
      <c r="B282" t="s">
        <v>305</v>
      </c>
      <c r="C282" t="s">
        <v>12</v>
      </c>
      <c r="F282" s="1">
        <f t="shared" si="4"/>
        <v>55586131</v>
      </c>
      <c r="G282" s="1">
        <v>300000</v>
      </c>
      <c r="I282" t="s">
        <v>312</v>
      </c>
    </row>
    <row r="283" spans="1:9">
      <c r="A283" s="2">
        <v>45819</v>
      </c>
      <c r="B283" t="s">
        <v>245</v>
      </c>
      <c r="C283" t="s">
        <v>20</v>
      </c>
      <c r="E283" t="s">
        <v>24</v>
      </c>
      <c r="F283" s="1">
        <f t="shared" si="4"/>
        <v>55886131</v>
      </c>
      <c r="H283" s="1">
        <v>-5000000</v>
      </c>
    </row>
    <row r="284" spans="1:9">
      <c r="A284" s="2">
        <v>45819</v>
      </c>
      <c r="B284" t="s">
        <v>245</v>
      </c>
      <c r="C284" t="s">
        <v>20</v>
      </c>
      <c r="E284" t="s">
        <v>24</v>
      </c>
      <c r="F284" s="1">
        <f t="shared" si="4"/>
        <v>50886131</v>
      </c>
      <c r="H284" s="1">
        <v>-3751403</v>
      </c>
    </row>
    <row r="285" spans="1:9">
      <c r="A285" s="2">
        <v>45819</v>
      </c>
      <c r="B285" t="s">
        <v>245</v>
      </c>
      <c r="C285" t="s">
        <v>20</v>
      </c>
      <c r="E285" t="s">
        <v>24</v>
      </c>
      <c r="F285" s="1">
        <f t="shared" si="4"/>
        <v>47134728</v>
      </c>
      <c r="H285" s="1">
        <v>-5000000</v>
      </c>
    </row>
    <row r="286" spans="1:9">
      <c r="A286" s="2">
        <v>45819</v>
      </c>
      <c r="B286" t="s">
        <v>245</v>
      </c>
      <c r="C286" t="s">
        <v>20</v>
      </c>
      <c r="E286" t="s">
        <v>24</v>
      </c>
      <c r="F286" s="1">
        <f t="shared" si="4"/>
        <v>42134728</v>
      </c>
      <c r="H286" s="1">
        <v>-5000000</v>
      </c>
    </row>
    <row r="287" spans="1:9">
      <c r="A287" s="2">
        <v>45819</v>
      </c>
      <c r="B287" t="s">
        <v>245</v>
      </c>
      <c r="C287" t="s">
        <v>20</v>
      </c>
      <c r="E287" t="s">
        <v>24</v>
      </c>
      <c r="F287" s="1">
        <f t="shared" si="4"/>
        <v>37134728</v>
      </c>
      <c r="H287" s="1">
        <v>-5000000</v>
      </c>
    </row>
    <row r="288" spans="1:9">
      <c r="A288" s="2">
        <v>45819</v>
      </c>
      <c r="B288" t="s">
        <v>245</v>
      </c>
      <c r="C288" t="s">
        <v>20</v>
      </c>
      <c r="E288" t="s">
        <v>24</v>
      </c>
      <c r="F288" s="1">
        <f t="shared" si="4"/>
        <v>32134728</v>
      </c>
      <c r="H288" s="1">
        <v>-5000000</v>
      </c>
    </row>
    <row r="289" spans="1:9">
      <c r="A289" s="2">
        <v>45819</v>
      </c>
      <c r="B289" t="s">
        <v>245</v>
      </c>
      <c r="C289" t="s">
        <v>20</v>
      </c>
      <c r="E289" t="s">
        <v>24</v>
      </c>
      <c r="F289" s="1">
        <f t="shared" si="4"/>
        <v>27134728</v>
      </c>
      <c r="H289" s="1">
        <v>-5000000</v>
      </c>
    </row>
    <row r="290" spans="1:9">
      <c r="A290" s="2">
        <v>45819</v>
      </c>
      <c r="B290" t="s">
        <v>245</v>
      </c>
      <c r="C290" t="s">
        <v>20</v>
      </c>
      <c r="E290" t="s">
        <v>24</v>
      </c>
      <c r="F290" s="1">
        <f t="shared" si="4"/>
        <v>22134728</v>
      </c>
      <c r="H290" s="1">
        <v>-5000000</v>
      </c>
    </row>
    <row r="291" spans="1:9">
      <c r="A291" s="2">
        <v>45819</v>
      </c>
      <c r="B291" t="s">
        <v>245</v>
      </c>
      <c r="C291" t="s">
        <v>20</v>
      </c>
      <c r="E291" t="s">
        <v>24</v>
      </c>
      <c r="F291" s="1">
        <f t="shared" si="4"/>
        <v>17134728</v>
      </c>
      <c r="H291" s="1">
        <v>-5000000</v>
      </c>
    </row>
    <row r="292" spans="1:9">
      <c r="A292" s="2">
        <v>45819</v>
      </c>
      <c r="B292" t="s">
        <v>137</v>
      </c>
      <c r="C292" t="s">
        <v>16</v>
      </c>
      <c r="F292" s="1">
        <f t="shared" si="4"/>
        <v>12134728</v>
      </c>
      <c r="H292" s="1">
        <v>-11000000</v>
      </c>
    </row>
    <row r="293" spans="1:9">
      <c r="A293" s="2">
        <v>45820</v>
      </c>
      <c r="B293" t="s">
        <v>305</v>
      </c>
      <c r="C293" t="s">
        <v>12</v>
      </c>
      <c r="F293" s="1">
        <f t="shared" si="4"/>
        <v>1134728</v>
      </c>
      <c r="G293" s="1">
        <v>100000</v>
      </c>
      <c r="I293" t="s">
        <v>312</v>
      </c>
    </row>
    <row r="294" spans="1:9">
      <c r="A294" s="2">
        <v>45820</v>
      </c>
      <c r="B294" t="s">
        <v>306</v>
      </c>
      <c r="C294" t="s">
        <v>12</v>
      </c>
      <c r="F294" s="1">
        <f t="shared" ref="F294:F357" si="5">+F293+G293+H293</f>
        <v>1234728</v>
      </c>
      <c r="G294" s="1">
        <v>19800000</v>
      </c>
      <c r="I294" t="s">
        <v>397</v>
      </c>
    </row>
    <row r="295" spans="1:9">
      <c r="A295" s="2">
        <v>45821</v>
      </c>
      <c r="B295" t="s">
        <v>305</v>
      </c>
      <c r="C295" t="s">
        <v>12</v>
      </c>
      <c r="F295" s="1">
        <f t="shared" si="5"/>
        <v>21034728</v>
      </c>
      <c r="G295" s="1">
        <v>5000000</v>
      </c>
      <c r="I295" t="s">
        <v>311</v>
      </c>
    </row>
    <row r="296" spans="1:9">
      <c r="A296" s="2">
        <v>45821</v>
      </c>
      <c r="B296" t="s">
        <v>305</v>
      </c>
      <c r="C296" t="s">
        <v>12</v>
      </c>
      <c r="F296" s="1">
        <f t="shared" si="5"/>
        <v>26034728</v>
      </c>
      <c r="G296" s="1">
        <v>5000000</v>
      </c>
      <c r="I296" t="s">
        <v>311</v>
      </c>
    </row>
    <row r="297" spans="1:9">
      <c r="A297" s="2">
        <v>45821</v>
      </c>
      <c r="B297" t="s">
        <v>108</v>
      </c>
      <c r="C297" t="s">
        <v>9</v>
      </c>
      <c r="E297" t="s">
        <v>462</v>
      </c>
      <c r="F297" s="1">
        <f t="shared" si="5"/>
        <v>31034728</v>
      </c>
      <c r="H297" s="1">
        <v>-855000</v>
      </c>
    </row>
    <row r="298" spans="1:9">
      <c r="A298" s="2">
        <v>45824</v>
      </c>
      <c r="B298" t="s">
        <v>137</v>
      </c>
      <c r="C298" t="s">
        <v>16</v>
      </c>
      <c r="F298" s="1">
        <f t="shared" si="5"/>
        <v>30179728</v>
      </c>
      <c r="H298" s="1">
        <v>-29000000</v>
      </c>
    </row>
    <row r="299" spans="1:9">
      <c r="A299" s="2">
        <v>45824</v>
      </c>
      <c r="B299" t="s">
        <v>305</v>
      </c>
      <c r="C299" t="s">
        <v>12</v>
      </c>
      <c r="F299" s="1">
        <f t="shared" si="5"/>
        <v>1179728</v>
      </c>
      <c r="G299" s="1">
        <v>5000000</v>
      </c>
      <c r="I299" t="s">
        <v>311</v>
      </c>
    </row>
    <row r="300" spans="1:9">
      <c r="A300" s="2">
        <v>45824</v>
      </c>
      <c r="B300" t="s">
        <v>305</v>
      </c>
      <c r="C300" t="s">
        <v>12</v>
      </c>
      <c r="F300" s="1">
        <f t="shared" si="5"/>
        <v>6179728</v>
      </c>
      <c r="G300" s="1">
        <v>5000000</v>
      </c>
      <c r="I300" t="s">
        <v>311</v>
      </c>
    </row>
    <row r="301" spans="1:9">
      <c r="A301" s="2">
        <v>45824</v>
      </c>
      <c r="B301" t="s">
        <v>137</v>
      </c>
      <c r="C301" t="s">
        <v>16</v>
      </c>
      <c r="F301" s="1">
        <f t="shared" si="5"/>
        <v>11179728</v>
      </c>
      <c r="H301" s="1">
        <v>-9000000</v>
      </c>
    </row>
    <row r="302" spans="1:9">
      <c r="A302" s="2">
        <v>45824</v>
      </c>
      <c r="B302" t="s">
        <v>108</v>
      </c>
      <c r="C302" t="s">
        <v>9</v>
      </c>
      <c r="E302" t="s">
        <v>462</v>
      </c>
      <c r="F302" s="1">
        <f t="shared" si="5"/>
        <v>2179728</v>
      </c>
      <c r="H302" s="1">
        <v>-855000</v>
      </c>
      <c r="I302" t="s">
        <v>308</v>
      </c>
    </row>
    <row r="303" spans="1:9">
      <c r="A303" s="2">
        <v>45825</v>
      </c>
      <c r="B303" t="s">
        <v>42</v>
      </c>
      <c r="C303" t="s">
        <v>10</v>
      </c>
      <c r="F303" s="1">
        <f t="shared" si="5"/>
        <v>1324728</v>
      </c>
      <c r="H303" s="1">
        <v>-60000</v>
      </c>
      <c r="I303" t="s">
        <v>309</v>
      </c>
    </row>
    <row r="304" spans="1:9">
      <c r="A304" s="2">
        <v>45825</v>
      </c>
      <c r="B304" t="s">
        <v>42</v>
      </c>
      <c r="C304" t="s">
        <v>10</v>
      </c>
      <c r="F304" s="1">
        <f t="shared" si="5"/>
        <v>1264728</v>
      </c>
      <c r="H304" s="1">
        <v>-120000</v>
      </c>
      <c r="I304" t="s">
        <v>310</v>
      </c>
    </row>
    <row r="305" spans="1:9">
      <c r="A305" s="2">
        <v>45825</v>
      </c>
      <c r="B305" t="s">
        <v>42</v>
      </c>
      <c r="C305" t="s">
        <v>10</v>
      </c>
      <c r="F305" s="1">
        <f t="shared" si="5"/>
        <v>1144728</v>
      </c>
      <c r="H305" s="1">
        <v>-35000</v>
      </c>
    </row>
    <row r="306" spans="1:9">
      <c r="A306" s="2">
        <v>45825</v>
      </c>
      <c r="B306" t="s">
        <v>305</v>
      </c>
      <c r="C306" t="s">
        <v>12</v>
      </c>
      <c r="F306" s="1">
        <f t="shared" si="5"/>
        <v>1109728</v>
      </c>
      <c r="G306" s="1">
        <v>5000000</v>
      </c>
      <c r="I306" t="s">
        <v>311</v>
      </c>
    </row>
    <row r="307" spans="1:9">
      <c r="A307" s="2">
        <v>45825</v>
      </c>
      <c r="B307" t="s">
        <v>305</v>
      </c>
      <c r="C307" t="s">
        <v>12</v>
      </c>
      <c r="F307" s="1">
        <f t="shared" si="5"/>
        <v>6109728</v>
      </c>
      <c r="G307" s="1">
        <v>5000000</v>
      </c>
      <c r="I307" t="s">
        <v>311</v>
      </c>
    </row>
    <row r="308" spans="1:9">
      <c r="A308" s="2">
        <v>45825</v>
      </c>
      <c r="B308" t="s">
        <v>137</v>
      </c>
      <c r="C308" t="s">
        <v>16</v>
      </c>
      <c r="F308" s="1">
        <f t="shared" si="5"/>
        <v>11109728</v>
      </c>
      <c r="H308" s="1">
        <v>-10000000</v>
      </c>
    </row>
    <row r="309" spans="1:9">
      <c r="A309" s="2">
        <v>45825</v>
      </c>
      <c r="B309" t="s">
        <v>40</v>
      </c>
      <c r="C309" t="s">
        <v>10</v>
      </c>
      <c r="F309" s="1">
        <f t="shared" si="5"/>
        <v>1109728</v>
      </c>
      <c r="H309" s="1">
        <v>-155500</v>
      </c>
      <c r="I309" t="s">
        <v>307</v>
      </c>
    </row>
    <row r="310" spans="1:9">
      <c r="A310" s="2">
        <v>45826</v>
      </c>
      <c r="B310" t="s">
        <v>319</v>
      </c>
      <c r="C310" t="s">
        <v>12</v>
      </c>
      <c r="F310" s="1">
        <f t="shared" si="5"/>
        <v>954228</v>
      </c>
      <c r="G310" s="1">
        <v>21800000</v>
      </c>
      <c r="I310" t="s">
        <v>401</v>
      </c>
    </row>
    <row r="311" spans="1:9">
      <c r="A311" s="2">
        <v>45826</v>
      </c>
      <c r="B311" t="s">
        <v>137</v>
      </c>
      <c r="C311" t="s">
        <v>16</v>
      </c>
      <c r="F311" s="1">
        <f t="shared" si="5"/>
        <v>22754228</v>
      </c>
      <c r="H311" s="1">
        <v>-20000000</v>
      </c>
    </row>
    <row r="312" spans="1:9">
      <c r="A312" s="2">
        <v>45826</v>
      </c>
      <c r="B312" t="s">
        <v>239</v>
      </c>
      <c r="C312" t="s">
        <v>9</v>
      </c>
      <c r="F312" s="1">
        <f t="shared" si="5"/>
        <v>2754228</v>
      </c>
      <c r="H312" s="1">
        <v>-50000</v>
      </c>
    </row>
    <row r="313" spans="1:9">
      <c r="A313" s="2">
        <v>45826</v>
      </c>
      <c r="B313" t="s">
        <v>320</v>
      </c>
      <c r="C313" t="s">
        <v>12</v>
      </c>
      <c r="F313" s="1">
        <f t="shared" si="5"/>
        <v>2704228</v>
      </c>
      <c r="G313" s="1">
        <v>21800000</v>
      </c>
      <c r="I313" t="s">
        <v>400</v>
      </c>
    </row>
    <row r="314" spans="1:9">
      <c r="A314" s="2">
        <v>45827</v>
      </c>
      <c r="B314" t="s">
        <v>250</v>
      </c>
      <c r="C314" t="s">
        <v>9</v>
      </c>
      <c r="F314" s="1">
        <f t="shared" si="5"/>
        <v>24504228</v>
      </c>
      <c r="H314" s="1">
        <v>-20000</v>
      </c>
    </row>
    <row r="315" spans="1:9">
      <c r="A315" s="2">
        <v>45827</v>
      </c>
      <c r="B315" t="s">
        <v>108</v>
      </c>
      <c r="C315" t="s">
        <v>9</v>
      </c>
      <c r="E315" t="s">
        <v>462</v>
      </c>
      <c r="F315" s="1">
        <f t="shared" si="5"/>
        <v>24484228</v>
      </c>
      <c r="H315" s="1">
        <v>-1710000</v>
      </c>
      <c r="I315" t="s">
        <v>586</v>
      </c>
    </row>
    <row r="316" spans="1:9">
      <c r="A316" s="2">
        <v>45827</v>
      </c>
      <c r="B316" t="s">
        <v>108</v>
      </c>
      <c r="C316" t="s">
        <v>9</v>
      </c>
      <c r="E316" t="s">
        <v>462</v>
      </c>
      <c r="F316" s="1">
        <f t="shared" si="5"/>
        <v>22774228</v>
      </c>
      <c r="H316" s="1">
        <v>-855000</v>
      </c>
      <c r="I316" t="s">
        <v>587</v>
      </c>
    </row>
    <row r="317" spans="1:9">
      <c r="A317" s="2">
        <v>45827</v>
      </c>
      <c r="B317" t="s">
        <v>321</v>
      </c>
      <c r="C317" t="s">
        <v>12</v>
      </c>
      <c r="F317" s="1">
        <f t="shared" si="5"/>
        <v>21919228</v>
      </c>
      <c r="G317" s="1">
        <v>19800000</v>
      </c>
      <c r="I317" t="s">
        <v>398</v>
      </c>
    </row>
    <row r="318" spans="1:9">
      <c r="A318" s="2">
        <v>45831</v>
      </c>
      <c r="B318" t="s">
        <v>137</v>
      </c>
      <c r="C318" t="s">
        <v>16</v>
      </c>
      <c r="F318" s="1">
        <f t="shared" si="5"/>
        <v>41719228</v>
      </c>
      <c r="H318" s="1">
        <v>-21000000</v>
      </c>
    </row>
    <row r="319" spans="1:9">
      <c r="A319" s="2">
        <v>45831</v>
      </c>
      <c r="B319" t="s">
        <v>305</v>
      </c>
      <c r="C319" t="s">
        <v>12</v>
      </c>
      <c r="F319" s="1">
        <f t="shared" si="5"/>
        <v>20719228</v>
      </c>
      <c r="G319" s="1">
        <v>5000000</v>
      </c>
      <c r="I319" t="s">
        <v>311</v>
      </c>
    </row>
    <row r="320" spans="1:9">
      <c r="A320" s="2">
        <v>45831</v>
      </c>
      <c r="B320" t="s">
        <v>137</v>
      </c>
      <c r="C320" t="s">
        <v>16</v>
      </c>
      <c r="F320" s="1">
        <f t="shared" si="5"/>
        <v>25719228</v>
      </c>
      <c r="H320" s="1">
        <v>-5000000</v>
      </c>
    </row>
    <row r="321" spans="1:9">
      <c r="A321" s="2">
        <v>45832</v>
      </c>
      <c r="B321" t="s">
        <v>256</v>
      </c>
      <c r="C321" t="s">
        <v>9</v>
      </c>
      <c r="F321" s="1">
        <f t="shared" si="5"/>
        <v>20719228</v>
      </c>
      <c r="H321" s="1">
        <v>-75000</v>
      </c>
    </row>
    <row r="322" spans="1:9">
      <c r="A322" s="2">
        <v>45832</v>
      </c>
      <c r="B322" t="s">
        <v>108</v>
      </c>
      <c r="C322" t="s">
        <v>9</v>
      </c>
      <c r="E322" t="s">
        <v>462</v>
      </c>
      <c r="F322" s="1">
        <f t="shared" si="5"/>
        <v>20644228</v>
      </c>
      <c r="H322" s="1">
        <v>-1710000</v>
      </c>
      <c r="I322" t="s">
        <v>588</v>
      </c>
    </row>
    <row r="323" spans="1:9">
      <c r="A323" s="2">
        <v>45832</v>
      </c>
      <c r="B323" t="s">
        <v>137</v>
      </c>
      <c r="C323" t="s">
        <v>16</v>
      </c>
      <c r="F323" s="1">
        <f t="shared" si="5"/>
        <v>18934228</v>
      </c>
      <c r="H323" s="1">
        <v>-18000000</v>
      </c>
    </row>
    <row r="324" spans="1:9">
      <c r="A324" s="2">
        <v>45832</v>
      </c>
      <c r="B324" t="s">
        <v>322</v>
      </c>
      <c r="C324" t="s">
        <v>12</v>
      </c>
      <c r="F324" s="1">
        <f t="shared" si="5"/>
        <v>934228</v>
      </c>
      <c r="G324" s="1">
        <v>19800000</v>
      </c>
      <c r="I324" t="s">
        <v>399</v>
      </c>
    </row>
    <row r="325" spans="1:9">
      <c r="A325" s="2">
        <v>45833</v>
      </c>
      <c r="B325" t="s">
        <v>137</v>
      </c>
      <c r="C325" t="s">
        <v>16</v>
      </c>
      <c r="F325" s="1">
        <f t="shared" si="5"/>
        <v>20734228</v>
      </c>
      <c r="H325" s="1">
        <v>-20000000</v>
      </c>
    </row>
    <row r="326" spans="1:9">
      <c r="A326" s="2">
        <v>45834</v>
      </c>
      <c r="B326" t="s">
        <v>305</v>
      </c>
      <c r="C326" t="s">
        <v>12</v>
      </c>
      <c r="F326" s="1">
        <f t="shared" si="5"/>
        <v>734228</v>
      </c>
      <c r="G326" s="1">
        <v>5000000</v>
      </c>
    </row>
    <row r="327" spans="1:9">
      <c r="A327" s="2">
        <v>45834</v>
      </c>
      <c r="B327" t="s">
        <v>137</v>
      </c>
      <c r="C327" t="s">
        <v>16</v>
      </c>
      <c r="F327" s="1">
        <f t="shared" si="5"/>
        <v>5734228</v>
      </c>
      <c r="H327" s="1">
        <v>-5000000</v>
      </c>
    </row>
    <row r="328" spans="1:9">
      <c r="A328" s="2">
        <v>45834</v>
      </c>
      <c r="B328" t="s">
        <v>341</v>
      </c>
      <c r="C328" t="s">
        <v>12</v>
      </c>
      <c r="F328" s="1">
        <f t="shared" si="5"/>
        <v>734228</v>
      </c>
      <c r="G328" s="1">
        <v>21800000</v>
      </c>
      <c r="I328" t="s">
        <v>402</v>
      </c>
    </row>
    <row r="329" spans="1:9">
      <c r="A329" s="2">
        <v>45835</v>
      </c>
      <c r="B329" t="s">
        <v>342</v>
      </c>
      <c r="C329" t="s">
        <v>12</v>
      </c>
      <c r="F329" s="1">
        <f t="shared" si="5"/>
        <v>22534228</v>
      </c>
      <c r="G329" s="1">
        <v>250000</v>
      </c>
      <c r="I329" t="s">
        <v>345</v>
      </c>
    </row>
    <row r="330" spans="1:9">
      <c r="A330" s="2">
        <v>45835</v>
      </c>
      <c r="B330" t="s">
        <v>343</v>
      </c>
      <c r="C330" t="s">
        <v>12</v>
      </c>
      <c r="F330" s="1">
        <f t="shared" si="5"/>
        <v>22784228</v>
      </c>
      <c r="G330" s="1">
        <v>200000</v>
      </c>
      <c r="I330" t="s">
        <v>346</v>
      </c>
    </row>
    <row r="331" spans="1:9">
      <c r="A331" s="2">
        <v>45835</v>
      </c>
      <c r="B331" t="s">
        <v>137</v>
      </c>
      <c r="C331" t="s">
        <v>16</v>
      </c>
      <c r="F331" s="1">
        <f t="shared" si="5"/>
        <v>22984228</v>
      </c>
      <c r="H331" s="1">
        <v>-15600000</v>
      </c>
    </row>
    <row r="332" spans="1:9">
      <c r="A332" s="2">
        <v>45835</v>
      </c>
      <c r="B332" t="s">
        <v>108</v>
      </c>
      <c r="C332" t="s">
        <v>9</v>
      </c>
      <c r="E332" t="s">
        <v>462</v>
      </c>
      <c r="F332" s="1">
        <f t="shared" si="5"/>
        <v>7384228</v>
      </c>
      <c r="H332" s="1">
        <v>-855000</v>
      </c>
    </row>
    <row r="333" spans="1:9">
      <c r="A333" s="2">
        <v>45838</v>
      </c>
      <c r="B333" t="s">
        <v>245</v>
      </c>
      <c r="C333" t="s">
        <v>9</v>
      </c>
      <c r="E333" t="s">
        <v>391</v>
      </c>
      <c r="F333" s="1">
        <f t="shared" si="5"/>
        <v>6529228</v>
      </c>
      <c r="H333" s="1">
        <v>-1334539</v>
      </c>
      <c r="I333" t="s">
        <v>347</v>
      </c>
    </row>
    <row r="334" spans="1:9">
      <c r="A334" s="2">
        <v>45838</v>
      </c>
      <c r="B334" t="s">
        <v>239</v>
      </c>
      <c r="C334" t="s">
        <v>9</v>
      </c>
      <c r="F334" s="1">
        <f t="shared" si="5"/>
        <v>5194689</v>
      </c>
      <c r="H334" s="1">
        <v>-37000</v>
      </c>
      <c r="I334" t="s">
        <v>348</v>
      </c>
    </row>
    <row r="335" spans="1:9">
      <c r="A335" s="2">
        <v>45838</v>
      </c>
      <c r="B335" t="s">
        <v>239</v>
      </c>
      <c r="C335" t="s">
        <v>9</v>
      </c>
      <c r="F335" s="1">
        <f t="shared" si="5"/>
        <v>5157689</v>
      </c>
      <c r="H335" s="1">
        <v>-50000</v>
      </c>
      <c r="I335" t="s">
        <v>349</v>
      </c>
    </row>
    <row r="336" spans="1:9">
      <c r="A336" s="2">
        <v>45838</v>
      </c>
      <c r="B336" t="s">
        <v>344</v>
      </c>
      <c r="C336" t="s">
        <v>12</v>
      </c>
      <c r="F336" s="1">
        <f t="shared" si="5"/>
        <v>5107689</v>
      </c>
      <c r="G336" s="1">
        <v>4800000</v>
      </c>
      <c r="I336" t="s">
        <v>350</v>
      </c>
    </row>
    <row r="337" spans="1:9">
      <c r="A337" s="2">
        <v>45838</v>
      </c>
      <c r="B337" t="s">
        <v>137</v>
      </c>
      <c r="C337" t="s">
        <v>16</v>
      </c>
      <c r="F337" s="1">
        <f t="shared" si="5"/>
        <v>9907689</v>
      </c>
      <c r="H337" s="1">
        <v>-4000000</v>
      </c>
    </row>
    <row r="338" spans="1:9">
      <c r="A338" s="2">
        <v>45838</v>
      </c>
      <c r="B338" t="s">
        <v>239</v>
      </c>
      <c r="C338" t="s">
        <v>9</v>
      </c>
      <c r="F338" s="1">
        <f t="shared" si="5"/>
        <v>5907689</v>
      </c>
      <c r="H338" s="1">
        <v>-50000</v>
      </c>
    </row>
    <row r="339" spans="1:9">
      <c r="A339" s="2">
        <v>45839</v>
      </c>
      <c r="B339" t="s">
        <v>41</v>
      </c>
      <c r="C339" t="s">
        <v>9</v>
      </c>
      <c r="F339" s="1">
        <f t="shared" si="5"/>
        <v>5857689</v>
      </c>
      <c r="H339" s="1">
        <v>-4000000</v>
      </c>
    </row>
    <row r="340" spans="1:9">
      <c r="A340" s="2">
        <v>45839</v>
      </c>
      <c r="B340" t="s">
        <v>41</v>
      </c>
      <c r="C340" t="s">
        <v>9</v>
      </c>
      <c r="F340" s="1">
        <f t="shared" si="5"/>
        <v>1857689</v>
      </c>
      <c r="H340" s="1">
        <v>-100000</v>
      </c>
      <c r="I340" t="s">
        <v>53</v>
      </c>
    </row>
    <row r="341" spans="1:9">
      <c r="A341" s="2">
        <v>45839</v>
      </c>
      <c r="B341" t="s">
        <v>244</v>
      </c>
      <c r="C341" t="s">
        <v>12</v>
      </c>
      <c r="F341" s="1">
        <f t="shared" si="5"/>
        <v>1757689</v>
      </c>
      <c r="G341" s="1">
        <v>5000000</v>
      </c>
      <c r="I341" t="s">
        <v>351</v>
      </c>
    </row>
    <row r="342" spans="1:9">
      <c r="A342" s="2">
        <v>45840</v>
      </c>
      <c r="B342" t="s">
        <v>181</v>
      </c>
      <c r="C342" t="s">
        <v>9</v>
      </c>
      <c r="F342" s="1">
        <f t="shared" si="5"/>
        <v>6757689</v>
      </c>
      <c r="H342" s="1">
        <v>-168871</v>
      </c>
      <c r="I342" t="s">
        <v>283</v>
      </c>
    </row>
    <row r="343" spans="1:9">
      <c r="A343" s="2">
        <v>45840</v>
      </c>
      <c r="B343" t="s">
        <v>108</v>
      </c>
      <c r="C343" t="s">
        <v>9</v>
      </c>
      <c r="E343" t="s">
        <v>462</v>
      </c>
      <c r="F343" s="1">
        <f t="shared" si="5"/>
        <v>6588818</v>
      </c>
      <c r="H343" s="1">
        <v>-1710000</v>
      </c>
      <c r="I343" t="s">
        <v>361</v>
      </c>
    </row>
    <row r="344" spans="1:9">
      <c r="A344" s="2">
        <v>45840</v>
      </c>
      <c r="B344" t="s">
        <v>137</v>
      </c>
      <c r="C344" t="s">
        <v>16</v>
      </c>
      <c r="F344" s="1">
        <f t="shared" si="5"/>
        <v>4878818</v>
      </c>
      <c r="H344" s="1">
        <v>-4000000</v>
      </c>
    </row>
    <row r="345" spans="1:9">
      <c r="A345" s="2">
        <v>45841</v>
      </c>
      <c r="B345" t="s">
        <v>362</v>
      </c>
      <c r="C345" t="s">
        <v>12</v>
      </c>
      <c r="F345" s="1">
        <f t="shared" si="5"/>
        <v>878818</v>
      </c>
      <c r="G345" s="1">
        <v>200000</v>
      </c>
      <c r="I345" t="s">
        <v>363</v>
      </c>
    </row>
    <row r="346" spans="1:9">
      <c r="A346" s="2">
        <v>45841</v>
      </c>
      <c r="B346" t="s">
        <v>91</v>
      </c>
      <c r="C346" t="s">
        <v>12</v>
      </c>
      <c r="D346" t="s">
        <v>194</v>
      </c>
      <c r="F346" s="1">
        <f t="shared" si="5"/>
        <v>1078818</v>
      </c>
      <c r="G346" s="1">
        <v>379760</v>
      </c>
      <c r="I346" t="s">
        <v>538</v>
      </c>
    </row>
    <row r="347" spans="1:9">
      <c r="A347" s="2">
        <v>45841</v>
      </c>
      <c r="B347" t="s">
        <v>112</v>
      </c>
      <c r="C347" t="s">
        <v>12</v>
      </c>
      <c r="D347" t="s">
        <v>192</v>
      </c>
      <c r="F347" s="1">
        <f t="shared" si="5"/>
        <v>1458578</v>
      </c>
      <c r="G347" s="1">
        <v>1125465</v>
      </c>
      <c r="I347" t="s">
        <v>534</v>
      </c>
    </row>
    <row r="348" spans="1:9">
      <c r="A348" s="2">
        <v>45841</v>
      </c>
      <c r="B348" t="s">
        <v>364</v>
      </c>
      <c r="C348" t="s">
        <v>9</v>
      </c>
      <c r="E348" t="s">
        <v>391</v>
      </c>
      <c r="F348" s="1">
        <f t="shared" si="5"/>
        <v>2584043</v>
      </c>
      <c r="H348" s="1">
        <v>-250476</v>
      </c>
      <c r="I348" t="s">
        <v>283</v>
      </c>
    </row>
    <row r="349" spans="1:9">
      <c r="A349" s="2">
        <v>45842</v>
      </c>
      <c r="B349" t="s">
        <v>42</v>
      </c>
      <c r="C349" t="s">
        <v>10</v>
      </c>
      <c r="F349" s="1">
        <f t="shared" si="5"/>
        <v>2333567</v>
      </c>
      <c r="H349" s="1">
        <v>-60000</v>
      </c>
    </row>
    <row r="350" spans="1:9">
      <c r="A350" s="2">
        <v>45842</v>
      </c>
      <c r="B350" t="s">
        <v>90</v>
      </c>
      <c r="C350" t="s">
        <v>12</v>
      </c>
      <c r="F350" s="1">
        <f t="shared" si="5"/>
        <v>2273567</v>
      </c>
      <c r="G350" s="1">
        <v>846000</v>
      </c>
    </row>
    <row r="351" spans="1:9">
      <c r="A351" s="2">
        <v>45845</v>
      </c>
      <c r="B351" t="s">
        <v>137</v>
      </c>
      <c r="C351" t="s">
        <v>16</v>
      </c>
      <c r="F351" s="1">
        <f t="shared" si="5"/>
        <v>3119567</v>
      </c>
      <c r="H351" s="1">
        <v>-2000000</v>
      </c>
    </row>
    <row r="352" spans="1:9">
      <c r="A352" s="2">
        <v>45846</v>
      </c>
      <c r="B352" t="s">
        <v>241</v>
      </c>
      <c r="C352" t="s">
        <v>12</v>
      </c>
      <c r="F352" s="1">
        <f t="shared" si="5"/>
        <v>1119567</v>
      </c>
      <c r="G352" s="1">
        <v>2000000</v>
      </c>
      <c r="I352" t="s">
        <v>365</v>
      </c>
    </row>
    <row r="353" spans="1:9">
      <c r="A353" s="2">
        <v>45846</v>
      </c>
      <c r="B353" t="s">
        <v>85</v>
      </c>
      <c r="C353" t="s">
        <v>9</v>
      </c>
      <c r="F353" s="1">
        <f t="shared" si="5"/>
        <v>3119567</v>
      </c>
      <c r="H353" s="1">
        <v>-786040</v>
      </c>
      <c r="I353" t="s">
        <v>366</v>
      </c>
    </row>
    <row r="354" spans="1:9">
      <c r="A354" s="2">
        <v>45849</v>
      </c>
      <c r="B354" t="s">
        <v>150</v>
      </c>
      <c r="C354" t="s">
        <v>16</v>
      </c>
      <c r="F354" s="1">
        <f t="shared" si="5"/>
        <v>2333527</v>
      </c>
      <c r="G354" s="1">
        <v>1000000</v>
      </c>
    </row>
    <row r="355" spans="1:9">
      <c r="A355" s="2">
        <v>45849</v>
      </c>
      <c r="B355" t="s">
        <v>107</v>
      </c>
      <c r="C355" t="s">
        <v>9</v>
      </c>
      <c r="F355" s="1">
        <f t="shared" si="5"/>
        <v>3333527</v>
      </c>
      <c r="H355" s="1">
        <v>-2508612</v>
      </c>
      <c r="I355" t="s">
        <v>317</v>
      </c>
    </row>
    <row r="356" spans="1:9">
      <c r="A356" s="2">
        <v>45852</v>
      </c>
      <c r="B356" t="s">
        <v>367</v>
      </c>
      <c r="C356" t="s">
        <v>12</v>
      </c>
      <c r="F356" s="1">
        <f t="shared" si="5"/>
        <v>824915</v>
      </c>
      <c r="G356" s="1">
        <v>39600000</v>
      </c>
      <c r="I356" t="s">
        <v>368</v>
      </c>
    </row>
    <row r="357" spans="1:9">
      <c r="A357" s="2">
        <v>45853</v>
      </c>
      <c r="B357" t="s">
        <v>137</v>
      </c>
      <c r="C357" t="s">
        <v>16</v>
      </c>
      <c r="F357" s="1">
        <f t="shared" si="5"/>
        <v>40424915</v>
      </c>
      <c r="H357" s="1">
        <v>-37700000</v>
      </c>
    </row>
    <row r="358" spans="1:9">
      <c r="A358" s="2">
        <v>45853</v>
      </c>
      <c r="B358" t="s">
        <v>245</v>
      </c>
      <c r="C358" t="s">
        <v>9</v>
      </c>
      <c r="E358" t="s">
        <v>391</v>
      </c>
      <c r="F358" s="1">
        <f t="shared" ref="F358:F421" si="6">+F357+G357+H357</f>
        <v>2724915</v>
      </c>
      <c r="H358" s="1">
        <v>-1038218</v>
      </c>
      <c r="I358" t="s">
        <v>392</v>
      </c>
    </row>
    <row r="359" spans="1:9">
      <c r="A359" s="2">
        <v>45853</v>
      </c>
      <c r="B359" t="s">
        <v>305</v>
      </c>
      <c r="C359" t="s">
        <v>12</v>
      </c>
      <c r="F359" s="1">
        <f t="shared" si="6"/>
        <v>1686697</v>
      </c>
      <c r="G359" s="1">
        <v>4600000</v>
      </c>
      <c r="I359" t="s">
        <v>369</v>
      </c>
    </row>
    <row r="360" spans="1:9">
      <c r="A360" s="2">
        <v>45855</v>
      </c>
      <c r="B360" t="s">
        <v>370</v>
      </c>
      <c r="C360" t="s">
        <v>10</v>
      </c>
      <c r="E360" t="s">
        <v>391</v>
      </c>
      <c r="F360" s="1">
        <f t="shared" si="6"/>
        <v>6286697</v>
      </c>
      <c r="H360" s="1">
        <v>-450000</v>
      </c>
      <c r="I360" t="s">
        <v>376</v>
      </c>
    </row>
    <row r="361" spans="1:9">
      <c r="A361" s="2">
        <v>45855</v>
      </c>
      <c r="B361" t="s">
        <v>239</v>
      </c>
      <c r="C361" t="s">
        <v>9</v>
      </c>
      <c r="E361" t="s">
        <v>391</v>
      </c>
      <c r="F361" s="1">
        <f t="shared" si="6"/>
        <v>5836697</v>
      </c>
      <c r="H361" s="1">
        <v>-37000</v>
      </c>
      <c r="I361" t="s">
        <v>374</v>
      </c>
    </row>
    <row r="362" spans="1:9">
      <c r="A362" s="2">
        <v>45855</v>
      </c>
      <c r="B362" t="s">
        <v>239</v>
      </c>
      <c r="C362" t="s">
        <v>9</v>
      </c>
      <c r="E362" t="s">
        <v>391</v>
      </c>
      <c r="F362" s="1">
        <f t="shared" si="6"/>
        <v>5799697</v>
      </c>
      <c r="H362" s="1">
        <v>-50000</v>
      </c>
      <c r="I362" t="s">
        <v>375</v>
      </c>
    </row>
    <row r="363" spans="1:9">
      <c r="A363" s="2">
        <v>45856</v>
      </c>
      <c r="B363" t="s">
        <v>371</v>
      </c>
      <c r="C363" t="s">
        <v>12</v>
      </c>
      <c r="F363" s="1">
        <f t="shared" si="6"/>
        <v>5749697</v>
      </c>
      <c r="G363" s="1">
        <v>200000</v>
      </c>
      <c r="I363" t="s">
        <v>393</v>
      </c>
    </row>
    <row r="364" spans="1:9">
      <c r="A364" s="2">
        <v>45856</v>
      </c>
      <c r="B364" t="s">
        <v>108</v>
      </c>
      <c r="C364" t="s">
        <v>9</v>
      </c>
      <c r="E364" t="s">
        <v>462</v>
      </c>
      <c r="F364" s="1">
        <f t="shared" si="6"/>
        <v>5949697</v>
      </c>
      <c r="H364" s="1">
        <v>-3420000</v>
      </c>
      <c r="I364" t="s">
        <v>377</v>
      </c>
    </row>
    <row r="365" spans="1:9">
      <c r="A365" s="2">
        <v>45856</v>
      </c>
      <c r="B365" t="s">
        <v>372</v>
      </c>
      <c r="C365" t="s">
        <v>9</v>
      </c>
      <c r="E365" t="s">
        <v>391</v>
      </c>
      <c r="F365" s="1">
        <f t="shared" si="6"/>
        <v>2529697</v>
      </c>
      <c r="H365" s="1">
        <v>-1000000</v>
      </c>
      <c r="I365" t="s">
        <v>385</v>
      </c>
    </row>
    <row r="366" spans="1:9">
      <c r="A366" s="2">
        <v>45856</v>
      </c>
      <c r="B366" t="s">
        <v>373</v>
      </c>
      <c r="C366" t="s">
        <v>12</v>
      </c>
      <c r="F366" s="1">
        <f t="shared" si="6"/>
        <v>1529697</v>
      </c>
      <c r="G366" s="1">
        <v>41300000</v>
      </c>
      <c r="I366" t="s">
        <v>378</v>
      </c>
    </row>
    <row r="367" spans="1:9">
      <c r="A367" s="2">
        <v>45859</v>
      </c>
      <c r="B367" t="s">
        <v>150</v>
      </c>
      <c r="C367" t="s">
        <v>16</v>
      </c>
      <c r="F367" s="1">
        <f t="shared" si="6"/>
        <v>42829697</v>
      </c>
      <c r="G367" s="1">
        <v>1000000</v>
      </c>
    </row>
    <row r="368" spans="1:9">
      <c r="A368" s="2">
        <v>45859</v>
      </c>
      <c r="B368" t="s">
        <v>46</v>
      </c>
      <c r="C368" t="s">
        <v>12</v>
      </c>
      <c r="F368" s="1">
        <f t="shared" si="6"/>
        <v>43829697</v>
      </c>
      <c r="G368" s="1">
        <v>7000000</v>
      </c>
      <c r="I368" t="s">
        <v>386</v>
      </c>
    </row>
    <row r="369" spans="1:9">
      <c r="A369" s="2">
        <v>45859</v>
      </c>
      <c r="B369" t="s">
        <v>372</v>
      </c>
      <c r="C369" t="s">
        <v>9</v>
      </c>
      <c r="E369" t="s">
        <v>391</v>
      </c>
      <c r="F369" s="1">
        <f t="shared" si="6"/>
        <v>50829697</v>
      </c>
      <c r="H369" s="1">
        <v>-1745950</v>
      </c>
      <c r="I369" t="s">
        <v>385</v>
      </c>
    </row>
    <row r="370" spans="1:9">
      <c r="A370" s="2">
        <v>45860</v>
      </c>
      <c r="B370" t="s">
        <v>137</v>
      </c>
      <c r="C370" t="s">
        <v>16</v>
      </c>
      <c r="F370" s="1">
        <f t="shared" si="6"/>
        <v>49083747</v>
      </c>
      <c r="H370" s="1">
        <v>-48000000</v>
      </c>
    </row>
    <row r="371" spans="1:9">
      <c r="A371" s="2">
        <v>45860</v>
      </c>
      <c r="B371" t="s">
        <v>303</v>
      </c>
      <c r="C371" t="s">
        <v>9</v>
      </c>
      <c r="F371" s="1">
        <f t="shared" si="6"/>
        <v>1083747</v>
      </c>
      <c r="H371" s="1">
        <v>-50000</v>
      </c>
      <c r="I371" t="s">
        <v>387</v>
      </c>
    </row>
    <row r="372" spans="1:9">
      <c r="A372" s="2">
        <v>45861</v>
      </c>
      <c r="B372" t="s">
        <v>46</v>
      </c>
      <c r="C372" t="s">
        <v>12</v>
      </c>
      <c r="F372" s="1">
        <f t="shared" si="6"/>
        <v>1033747</v>
      </c>
      <c r="G372" s="1">
        <v>4300000</v>
      </c>
      <c r="I372" t="s">
        <v>386</v>
      </c>
    </row>
    <row r="373" spans="1:9">
      <c r="A373" s="2">
        <v>45861</v>
      </c>
      <c r="B373" t="s">
        <v>137</v>
      </c>
      <c r="C373" t="s">
        <v>16</v>
      </c>
      <c r="F373" s="1">
        <f t="shared" si="6"/>
        <v>5333747</v>
      </c>
      <c r="H373" s="1">
        <v>-4500000</v>
      </c>
    </row>
    <row r="374" spans="1:9">
      <c r="A374" s="2">
        <v>45862</v>
      </c>
      <c r="B374" t="s">
        <v>379</v>
      </c>
      <c r="C374" t="s">
        <v>9</v>
      </c>
      <c r="E374" t="s">
        <v>391</v>
      </c>
      <c r="F374" s="1">
        <f t="shared" si="6"/>
        <v>833747</v>
      </c>
      <c r="H374" s="1">
        <v>-13784</v>
      </c>
      <c r="I374" t="s">
        <v>388</v>
      </c>
    </row>
    <row r="375" spans="1:9">
      <c r="A375" s="2">
        <v>45862</v>
      </c>
      <c r="B375" t="s">
        <v>380</v>
      </c>
      <c r="C375" t="s">
        <v>12</v>
      </c>
      <c r="F375" s="1">
        <f t="shared" si="6"/>
        <v>819963</v>
      </c>
      <c r="G375" s="1">
        <v>5000000</v>
      </c>
      <c r="I375" t="s">
        <v>389</v>
      </c>
    </row>
    <row r="376" spans="1:9">
      <c r="A376" s="2">
        <v>45862</v>
      </c>
      <c r="B376" t="s">
        <v>381</v>
      </c>
      <c r="C376" t="s">
        <v>12</v>
      </c>
      <c r="F376" s="1">
        <f t="shared" si="6"/>
        <v>5819963</v>
      </c>
      <c r="G376" s="1">
        <v>55000001</v>
      </c>
      <c r="I376" t="s">
        <v>390</v>
      </c>
    </row>
    <row r="377" spans="1:9">
      <c r="A377" s="2">
        <v>45862</v>
      </c>
      <c r="B377" t="s">
        <v>382</v>
      </c>
      <c r="C377" t="s">
        <v>12</v>
      </c>
      <c r="F377" s="1">
        <f t="shared" si="6"/>
        <v>60819964</v>
      </c>
      <c r="G377" s="1">
        <v>33700001</v>
      </c>
      <c r="I377" t="s">
        <v>390</v>
      </c>
    </row>
    <row r="378" spans="1:9">
      <c r="A378" s="2">
        <v>45863</v>
      </c>
      <c r="B378" t="s">
        <v>150</v>
      </c>
      <c r="C378" t="s">
        <v>16</v>
      </c>
      <c r="F378" s="1">
        <f t="shared" si="6"/>
        <v>94519965</v>
      </c>
      <c r="G378" s="1">
        <v>262430812</v>
      </c>
    </row>
    <row r="379" spans="1:9">
      <c r="A379" s="2">
        <v>45863</v>
      </c>
      <c r="B379" t="s">
        <v>383</v>
      </c>
      <c r="C379" t="s">
        <v>20</v>
      </c>
      <c r="E379" t="s">
        <v>510</v>
      </c>
      <c r="F379" s="1">
        <f t="shared" si="6"/>
        <v>356950777</v>
      </c>
      <c r="H379" s="1">
        <v>-267782920</v>
      </c>
    </row>
    <row r="380" spans="1:9">
      <c r="A380" s="2">
        <v>45863</v>
      </c>
      <c r="B380" t="s">
        <v>250</v>
      </c>
      <c r="C380" t="s">
        <v>20</v>
      </c>
      <c r="E380" t="s">
        <v>23</v>
      </c>
      <c r="F380" s="1">
        <f t="shared" si="6"/>
        <v>89167857</v>
      </c>
      <c r="H380" s="1">
        <v>-5000000</v>
      </c>
    </row>
    <row r="381" spans="1:9">
      <c r="A381" s="2">
        <v>45863</v>
      </c>
      <c r="B381" t="s">
        <v>250</v>
      </c>
      <c r="C381" t="s">
        <v>20</v>
      </c>
      <c r="E381" t="s">
        <v>23</v>
      </c>
      <c r="F381" s="1">
        <f t="shared" si="6"/>
        <v>84167857</v>
      </c>
      <c r="H381" s="1">
        <v>-2500000</v>
      </c>
    </row>
    <row r="382" spans="1:9">
      <c r="A382" s="2">
        <v>45863</v>
      </c>
      <c r="B382" t="s">
        <v>108</v>
      </c>
      <c r="C382" t="s">
        <v>20</v>
      </c>
      <c r="E382" t="s">
        <v>462</v>
      </c>
      <c r="F382" s="1">
        <f t="shared" si="6"/>
        <v>81667857</v>
      </c>
      <c r="H382" s="1">
        <v>-5000000</v>
      </c>
    </row>
    <row r="383" spans="1:9">
      <c r="A383" s="2">
        <v>45863</v>
      </c>
      <c r="B383" t="s">
        <v>250</v>
      </c>
      <c r="C383" t="s">
        <v>20</v>
      </c>
      <c r="E383" t="s">
        <v>23</v>
      </c>
      <c r="F383" s="1">
        <f t="shared" si="6"/>
        <v>76667857</v>
      </c>
      <c r="H383" s="1">
        <v>-5000000</v>
      </c>
    </row>
    <row r="384" spans="1:9">
      <c r="A384" s="2">
        <v>45863</v>
      </c>
      <c r="B384" t="s">
        <v>250</v>
      </c>
      <c r="C384" t="s">
        <v>20</v>
      </c>
      <c r="E384" t="s">
        <v>23</v>
      </c>
      <c r="F384" s="1">
        <f t="shared" si="6"/>
        <v>71667857</v>
      </c>
      <c r="H384" s="1">
        <v>-5000000</v>
      </c>
    </row>
    <row r="385" spans="1:9">
      <c r="A385" s="2">
        <v>45863</v>
      </c>
      <c r="B385" t="s">
        <v>250</v>
      </c>
      <c r="C385" t="s">
        <v>20</v>
      </c>
      <c r="E385" t="s">
        <v>23</v>
      </c>
      <c r="F385" s="1">
        <f t="shared" si="6"/>
        <v>66667857</v>
      </c>
      <c r="H385" s="1">
        <v>-5000000</v>
      </c>
    </row>
    <row r="386" spans="1:9">
      <c r="A386" s="2">
        <v>45863</v>
      </c>
      <c r="B386" t="s">
        <v>250</v>
      </c>
      <c r="C386" t="s">
        <v>20</v>
      </c>
      <c r="E386" t="s">
        <v>23</v>
      </c>
      <c r="F386" s="1">
        <f t="shared" si="6"/>
        <v>61667857</v>
      </c>
      <c r="H386" s="1">
        <v>-5000000</v>
      </c>
    </row>
    <row r="387" spans="1:9">
      <c r="A387" s="2">
        <v>45863</v>
      </c>
      <c r="B387" t="s">
        <v>250</v>
      </c>
      <c r="C387" t="s">
        <v>20</v>
      </c>
      <c r="E387" t="s">
        <v>23</v>
      </c>
      <c r="F387" s="1">
        <f t="shared" si="6"/>
        <v>56667857</v>
      </c>
      <c r="H387" s="1">
        <v>-5000000</v>
      </c>
    </row>
    <row r="388" spans="1:9">
      <c r="A388" s="2">
        <v>45863</v>
      </c>
      <c r="B388" t="s">
        <v>108</v>
      </c>
      <c r="C388" t="s">
        <v>9</v>
      </c>
      <c r="E388" t="s">
        <v>462</v>
      </c>
      <c r="F388" s="1">
        <f t="shared" si="6"/>
        <v>51667857</v>
      </c>
      <c r="H388" s="1">
        <v>-5130000</v>
      </c>
      <c r="I388" t="s">
        <v>511</v>
      </c>
    </row>
    <row r="389" spans="1:9">
      <c r="A389" s="2">
        <v>45863</v>
      </c>
      <c r="B389" t="s">
        <v>384</v>
      </c>
      <c r="C389" t="s">
        <v>20</v>
      </c>
      <c r="E389" t="s">
        <v>462</v>
      </c>
      <c r="F389" s="1">
        <f t="shared" si="6"/>
        <v>46537857</v>
      </c>
      <c r="G389" s="1">
        <v>200000</v>
      </c>
      <c r="I389" t="s">
        <v>412</v>
      </c>
    </row>
    <row r="390" spans="1:9">
      <c r="A390" s="2">
        <v>45863</v>
      </c>
      <c r="B390" t="s">
        <v>250</v>
      </c>
      <c r="C390" t="s">
        <v>20</v>
      </c>
      <c r="E390" t="s">
        <v>23</v>
      </c>
      <c r="F390" s="1">
        <f t="shared" si="6"/>
        <v>46737857</v>
      </c>
      <c r="H390" s="1">
        <v>-5000000</v>
      </c>
    </row>
    <row r="391" spans="1:9">
      <c r="A391" s="2">
        <v>45866</v>
      </c>
      <c r="B391" t="s">
        <v>404</v>
      </c>
      <c r="C391" t="s">
        <v>20</v>
      </c>
      <c r="E391" t="s">
        <v>461</v>
      </c>
      <c r="F391" s="1">
        <f t="shared" si="6"/>
        <v>41737857</v>
      </c>
      <c r="H391" s="1">
        <v>-12500000</v>
      </c>
    </row>
    <row r="392" spans="1:9">
      <c r="A392" s="2">
        <v>45866</v>
      </c>
      <c r="B392" t="s">
        <v>405</v>
      </c>
      <c r="C392" t="s">
        <v>20</v>
      </c>
      <c r="E392" t="s">
        <v>463</v>
      </c>
      <c r="F392" s="1">
        <f t="shared" si="6"/>
        <v>29237857</v>
      </c>
      <c r="H392" s="1">
        <v>-25000000</v>
      </c>
    </row>
    <row r="393" spans="1:9">
      <c r="A393" s="2">
        <v>45866</v>
      </c>
      <c r="B393" t="s">
        <v>90</v>
      </c>
      <c r="C393" t="s">
        <v>12</v>
      </c>
      <c r="D393" t="s">
        <v>193</v>
      </c>
      <c r="F393" s="1">
        <f t="shared" si="6"/>
        <v>4237857</v>
      </c>
      <c r="G393" s="1">
        <v>5000000</v>
      </c>
      <c r="I393" t="s">
        <v>389</v>
      </c>
    </row>
    <row r="394" spans="1:9">
      <c r="A394" s="2">
        <v>45866</v>
      </c>
      <c r="B394" t="s">
        <v>406</v>
      </c>
      <c r="C394" t="s">
        <v>20</v>
      </c>
      <c r="E394" t="s">
        <v>462</v>
      </c>
      <c r="F394" s="1">
        <f t="shared" si="6"/>
        <v>9237857</v>
      </c>
      <c r="G394" s="1">
        <v>4800000</v>
      </c>
      <c r="I394" t="s">
        <v>411</v>
      </c>
    </row>
    <row r="395" spans="1:9">
      <c r="A395" s="2">
        <v>45866</v>
      </c>
      <c r="B395" t="s">
        <v>133</v>
      </c>
      <c r="C395" t="s">
        <v>12</v>
      </c>
      <c r="D395" t="s">
        <v>198</v>
      </c>
      <c r="F395" s="1">
        <f t="shared" si="6"/>
        <v>14037857</v>
      </c>
      <c r="G395" s="1">
        <v>5000000</v>
      </c>
      <c r="I395" t="s">
        <v>413</v>
      </c>
    </row>
    <row r="396" spans="1:9">
      <c r="A396" s="2">
        <v>45866</v>
      </c>
      <c r="B396" t="s">
        <v>137</v>
      </c>
      <c r="C396" t="s">
        <v>16</v>
      </c>
      <c r="F396" s="1">
        <f t="shared" si="6"/>
        <v>19037857</v>
      </c>
      <c r="H396" s="1">
        <v>-18000000</v>
      </c>
    </row>
    <row r="397" spans="1:9">
      <c r="A397" s="2">
        <v>45866</v>
      </c>
      <c r="B397" t="s">
        <v>108</v>
      </c>
      <c r="C397" t="s">
        <v>9</v>
      </c>
      <c r="E397" t="s">
        <v>391</v>
      </c>
      <c r="F397" s="1">
        <f t="shared" si="6"/>
        <v>1037857</v>
      </c>
      <c r="H397" s="1">
        <v>-6856</v>
      </c>
      <c r="I397" t="s">
        <v>423</v>
      </c>
    </row>
    <row r="398" spans="1:9">
      <c r="A398" s="2">
        <v>45866</v>
      </c>
      <c r="B398" t="s">
        <v>42</v>
      </c>
      <c r="C398" t="s">
        <v>10</v>
      </c>
      <c r="F398" s="1">
        <f t="shared" si="6"/>
        <v>1031001</v>
      </c>
      <c r="H398" s="1">
        <v>-60000</v>
      </c>
      <c r="I398" t="s">
        <v>415</v>
      </c>
    </row>
    <row r="399" spans="1:9">
      <c r="A399" s="2">
        <v>45866</v>
      </c>
      <c r="B399" t="s">
        <v>42</v>
      </c>
      <c r="C399" t="s">
        <v>10</v>
      </c>
      <c r="F399" s="1">
        <f t="shared" si="6"/>
        <v>971001</v>
      </c>
      <c r="H399" s="1">
        <v>-60000</v>
      </c>
      <c r="I399" t="s">
        <v>414</v>
      </c>
    </row>
    <row r="400" spans="1:9">
      <c r="A400" s="2">
        <v>45867</v>
      </c>
      <c r="B400" t="s">
        <v>133</v>
      </c>
      <c r="C400" t="s">
        <v>12</v>
      </c>
      <c r="F400" s="1">
        <f t="shared" si="6"/>
        <v>911001</v>
      </c>
      <c r="G400" s="1">
        <v>5000000</v>
      </c>
      <c r="I400" t="s">
        <v>413</v>
      </c>
    </row>
    <row r="401" spans="1:9">
      <c r="A401" s="2">
        <v>45867</v>
      </c>
      <c r="B401" t="s">
        <v>137</v>
      </c>
      <c r="C401" t="s">
        <v>16</v>
      </c>
      <c r="F401" s="1">
        <f t="shared" si="6"/>
        <v>5911001</v>
      </c>
      <c r="H401" s="1">
        <v>-5000000</v>
      </c>
    </row>
    <row r="402" spans="1:9">
      <c r="A402" s="2">
        <v>45867</v>
      </c>
      <c r="B402" t="s">
        <v>407</v>
      </c>
      <c r="C402" t="s">
        <v>9</v>
      </c>
      <c r="E402" t="s">
        <v>391</v>
      </c>
      <c r="F402" s="1">
        <f t="shared" si="6"/>
        <v>911001</v>
      </c>
      <c r="H402" s="1">
        <v>-38400</v>
      </c>
      <c r="I402" t="s">
        <v>416</v>
      </c>
    </row>
    <row r="403" spans="1:9">
      <c r="A403" s="2">
        <v>45868</v>
      </c>
      <c r="B403" t="s">
        <v>133</v>
      </c>
      <c r="C403" t="s">
        <v>12</v>
      </c>
      <c r="F403" s="1">
        <f t="shared" si="6"/>
        <v>872601</v>
      </c>
      <c r="G403" s="1">
        <v>5000000</v>
      </c>
      <c r="I403" t="s">
        <v>413</v>
      </c>
    </row>
    <row r="404" spans="1:9">
      <c r="A404" s="2">
        <v>45869</v>
      </c>
      <c r="B404" t="s">
        <v>170</v>
      </c>
      <c r="C404" t="s">
        <v>12</v>
      </c>
      <c r="D404" t="s">
        <v>197</v>
      </c>
      <c r="F404" s="1">
        <f t="shared" si="6"/>
        <v>5872601</v>
      </c>
      <c r="G404" s="1">
        <v>611111</v>
      </c>
      <c r="I404" t="s">
        <v>417</v>
      </c>
    </row>
    <row r="405" spans="1:9">
      <c r="A405" s="2">
        <v>45869</v>
      </c>
      <c r="B405" t="s">
        <v>408</v>
      </c>
      <c r="C405" t="s">
        <v>12</v>
      </c>
      <c r="F405" s="1">
        <f t="shared" si="6"/>
        <v>6483712</v>
      </c>
      <c r="G405" s="1">
        <v>6500000</v>
      </c>
      <c r="I405" t="s">
        <v>418</v>
      </c>
    </row>
    <row r="406" spans="1:9">
      <c r="A406" s="2">
        <v>45869</v>
      </c>
      <c r="B406" t="s">
        <v>46</v>
      </c>
      <c r="C406" t="s">
        <v>12</v>
      </c>
      <c r="F406" s="1">
        <f t="shared" si="6"/>
        <v>12983712</v>
      </c>
      <c r="G406" s="1">
        <v>2000000</v>
      </c>
      <c r="I406" t="s">
        <v>418</v>
      </c>
    </row>
    <row r="407" spans="1:9">
      <c r="A407" s="2">
        <v>45869</v>
      </c>
      <c r="B407" t="s">
        <v>137</v>
      </c>
      <c r="C407" t="s">
        <v>16</v>
      </c>
      <c r="F407" s="1">
        <f t="shared" si="6"/>
        <v>14983712</v>
      </c>
      <c r="H407" s="1">
        <v>-9000000</v>
      </c>
    </row>
    <row r="408" spans="1:9">
      <c r="A408" s="2">
        <v>45870</v>
      </c>
      <c r="B408" t="s">
        <v>37</v>
      </c>
      <c r="C408" t="s">
        <v>9</v>
      </c>
      <c r="E408" t="s">
        <v>391</v>
      </c>
      <c r="F408" s="1">
        <f t="shared" si="6"/>
        <v>5983712</v>
      </c>
      <c r="H408" s="1">
        <v>-535500</v>
      </c>
      <c r="I408" t="s">
        <v>419</v>
      </c>
    </row>
    <row r="409" spans="1:9">
      <c r="A409" s="2">
        <v>45870</v>
      </c>
      <c r="B409" t="s">
        <v>91</v>
      </c>
      <c r="C409" t="s">
        <v>12</v>
      </c>
      <c r="D409" t="s">
        <v>194</v>
      </c>
      <c r="F409" s="1">
        <f t="shared" si="6"/>
        <v>5448212</v>
      </c>
      <c r="G409" s="1">
        <v>378803</v>
      </c>
      <c r="I409" t="s">
        <v>539</v>
      </c>
    </row>
    <row r="410" spans="1:9">
      <c r="A410" s="2">
        <v>45870</v>
      </c>
      <c r="B410" t="s">
        <v>41</v>
      </c>
      <c r="C410" t="s">
        <v>9</v>
      </c>
      <c r="F410" s="1">
        <f t="shared" si="6"/>
        <v>5827015</v>
      </c>
      <c r="H410" s="1">
        <v>-4000000</v>
      </c>
    </row>
    <row r="411" spans="1:9">
      <c r="A411" s="2">
        <v>45870</v>
      </c>
      <c r="B411" t="s">
        <v>112</v>
      </c>
      <c r="C411" t="s">
        <v>12</v>
      </c>
      <c r="D411" t="s">
        <v>192</v>
      </c>
      <c r="F411" s="1">
        <f t="shared" si="6"/>
        <v>1827015</v>
      </c>
      <c r="G411" s="1">
        <v>1144664</v>
      </c>
      <c r="I411" t="s">
        <v>535</v>
      </c>
    </row>
    <row r="412" spans="1:9">
      <c r="A412" s="2">
        <v>45873</v>
      </c>
      <c r="B412" t="s">
        <v>244</v>
      </c>
      <c r="C412" t="s">
        <v>12</v>
      </c>
      <c r="D412" t="s">
        <v>424</v>
      </c>
      <c r="F412" s="1">
        <f t="shared" si="6"/>
        <v>2971679</v>
      </c>
      <c r="G412" s="1">
        <v>716667</v>
      </c>
      <c r="I412" t="s">
        <v>202</v>
      </c>
    </row>
    <row r="413" spans="1:9">
      <c r="A413" s="2">
        <v>45873</v>
      </c>
      <c r="B413" t="s">
        <v>90</v>
      </c>
      <c r="C413" t="s">
        <v>12</v>
      </c>
      <c r="D413" t="s">
        <v>193</v>
      </c>
      <c r="F413" s="1">
        <f t="shared" si="6"/>
        <v>3688346</v>
      </c>
      <c r="G413" s="1">
        <v>3693898</v>
      </c>
      <c r="I413" t="s">
        <v>420</v>
      </c>
    </row>
    <row r="414" spans="1:9">
      <c r="A414" s="2">
        <v>45873</v>
      </c>
      <c r="B414" t="s">
        <v>409</v>
      </c>
      <c r="C414" t="s">
        <v>16</v>
      </c>
      <c r="F414" s="1">
        <f t="shared" si="6"/>
        <v>7382244</v>
      </c>
      <c r="H414" s="1">
        <v>-5000000</v>
      </c>
    </row>
    <row r="415" spans="1:9">
      <c r="A415" s="2">
        <v>45874</v>
      </c>
      <c r="B415" t="s">
        <v>181</v>
      </c>
      <c r="C415" t="s">
        <v>9</v>
      </c>
      <c r="F415" s="1">
        <f t="shared" si="6"/>
        <v>2382244</v>
      </c>
      <c r="H415" s="1">
        <v>-183101</v>
      </c>
      <c r="I415" t="s">
        <v>186</v>
      </c>
    </row>
    <row r="416" spans="1:9">
      <c r="A416" s="2">
        <v>45874</v>
      </c>
      <c r="B416" t="s">
        <v>108</v>
      </c>
      <c r="C416" t="s">
        <v>9</v>
      </c>
      <c r="E416" t="s">
        <v>462</v>
      </c>
      <c r="F416" s="1">
        <f t="shared" si="6"/>
        <v>2199143</v>
      </c>
      <c r="H416" s="1">
        <v>-85204</v>
      </c>
      <c r="I416" t="s">
        <v>421</v>
      </c>
    </row>
    <row r="417" spans="1:9">
      <c r="A417" s="2">
        <v>45874</v>
      </c>
      <c r="B417" t="s">
        <v>41</v>
      </c>
      <c r="C417" t="s">
        <v>9</v>
      </c>
      <c r="F417" s="1">
        <f t="shared" si="6"/>
        <v>2113939</v>
      </c>
      <c r="H417" s="1">
        <v>-100000</v>
      </c>
      <c r="I417" t="s">
        <v>422</v>
      </c>
    </row>
    <row r="418" spans="1:9">
      <c r="A418" s="2">
        <v>45875</v>
      </c>
      <c r="B418" t="s">
        <v>410</v>
      </c>
      <c r="C418" t="s">
        <v>9</v>
      </c>
      <c r="F418" s="1">
        <f t="shared" si="6"/>
        <v>2013939</v>
      </c>
      <c r="H418" s="1">
        <v>-587685</v>
      </c>
    </row>
    <row r="419" spans="1:9">
      <c r="A419" s="2">
        <v>45876</v>
      </c>
      <c r="B419" t="s">
        <v>85</v>
      </c>
      <c r="C419" t="s">
        <v>9</v>
      </c>
      <c r="F419" s="1">
        <f t="shared" si="6"/>
        <v>1426254</v>
      </c>
      <c r="H419" s="1">
        <v>-49264</v>
      </c>
      <c r="I419" t="s">
        <v>437</v>
      </c>
    </row>
    <row r="420" spans="1:9">
      <c r="A420" s="2">
        <v>45877</v>
      </c>
      <c r="B420" t="s">
        <v>245</v>
      </c>
      <c r="C420" t="s">
        <v>9</v>
      </c>
      <c r="F420" s="1">
        <f t="shared" si="6"/>
        <v>1376990</v>
      </c>
      <c r="H420" s="1">
        <v>-570236</v>
      </c>
      <c r="I420" t="s">
        <v>441</v>
      </c>
    </row>
    <row r="421" spans="1:9">
      <c r="A421" s="2">
        <v>45881</v>
      </c>
      <c r="B421" t="s">
        <v>150</v>
      </c>
      <c r="C421" t="s">
        <v>16</v>
      </c>
      <c r="F421" s="1">
        <f t="shared" si="6"/>
        <v>806754</v>
      </c>
      <c r="G421" s="1">
        <v>2200000</v>
      </c>
    </row>
    <row r="422" spans="1:9">
      <c r="A422" s="2">
        <v>45881</v>
      </c>
      <c r="B422" t="s">
        <v>107</v>
      </c>
      <c r="C422" t="s">
        <v>9</v>
      </c>
      <c r="F422" s="1">
        <f t="shared" ref="F422:F485" si="7">+F421+G421+H421</f>
        <v>3006754</v>
      </c>
      <c r="H422" s="1">
        <v>-2222647</v>
      </c>
      <c r="I422" t="s">
        <v>317</v>
      </c>
    </row>
    <row r="423" spans="1:9">
      <c r="A423" s="2">
        <v>45887</v>
      </c>
      <c r="B423" t="s">
        <v>108</v>
      </c>
      <c r="C423" t="s">
        <v>9</v>
      </c>
      <c r="E423" t="s">
        <v>462</v>
      </c>
      <c r="F423" s="1">
        <f t="shared" si="7"/>
        <v>784107</v>
      </c>
      <c r="H423" s="1">
        <v>-76160</v>
      </c>
      <c r="I423" t="s">
        <v>438</v>
      </c>
    </row>
    <row r="424" spans="1:9">
      <c r="A424" s="2">
        <v>45887</v>
      </c>
      <c r="B424" t="s">
        <v>42</v>
      </c>
      <c r="C424" t="s">
        <v>10</v>
      </c>
      <c r="F424" s="1">
        <f t="shared" si="7"/>
        <v>707947</v>
      </c>
      <c r="H424" s="1">
        <v>-40000</v>
      </c>
    </row>
    <row r="425" spans="1:9">
      <c r="A425" s="2">
        <v>45888</v>
      </c>
      <c r="B425" t="s">
        <v>46</v>
      </c>
      <c r="C425" t="s">
        <v>12</v>
      </c>
      <c r="F425" s="1">
        <f t="shared" si="7"/>
        <v>667947</v>
      </c>
      <c r="G425" s="1">
        <v>2000000</v>
      </c>
      <c r="I425" t="s">
        <v>440</v>
      </c>
    </row>
    <row r="426" spans="1:9">
      <c r="A426" s="2">
        <v>45888</v>
      </c>
      <c r="B426" t="s">
        <v>409</v>
      </c>
      <c r="C426" t="s">
        <v>16</v>
      </c>
      <c r="F426" s="1">
        <f t="shared" si="7"/>
        <v>2667947</v>
      </c>
      <c r="H426" s="1">
        <v>-2000000</v>
      </c>
    </row>
    <row r="427" spans="1:9">
      <c r="A427" s="2">
        <v>45890</v>
      </c>
      <c r="B427" t="s">
        <v>40</v>
      </c>
      <c r="C427" t="s">
        <v>9</v>
      </c>
      <c r="F427" s="1">
        <f t="shared" si="7"/>
        <v>667947</v>
      </c>
      <c r="H427" s="1">
        <v>-31000</v>
      </c>
      <c r="I427" t="s">
        <v>439</v>
      </c>
    </row>
    <row r="428" spans="1:9">
      <c r="A428" s="2">
        <v>45896</v>
      </c>
      <c r="B428" t="s">
        <v>108</v>
      </c>
      <c r="C428" t="s">
        <v>9</v>
      </c>
      <c r="E428" t="s">
        <v>462</v>
      </c>
      <c r="F428" s="1">
        <f t="shared" si="7"/>
        <v>636947</v>
      </c>
      <c r="H428" s="1">
        <v>-9674</v>
      </c>
    </row>
    <row r="429" spans="1:9">
      <c r="A429" s="2">
        <v>45896</v>
      </c>
      <c r="B429" t="s">
        <v>464</v>
      </c>
      <c r="C429" t="s">
        <v>12</v>
      </c>
      <c r="D429" t="s">
        <v>424</v>
      </c>
      <c r="F429" s="1">
        <f t="shared" si="7"/>
        <v>627273</v>
      </c>
      <c r="G429" s="1">
        <v>300000</v>
      </c>
      <c r="I429" t="s">
        <v>504</v>
      </c>
    </row>
    <row r="430" spans="1:9">
      <c r="A430" s="2">
        <v>45896</v>
      </c>
      <c r="B430" t="s">
        <v>244</v>
      </c>
      <c r="C430" t="s">
        <v>12</v>
      </c>
      <c r="D430" t="s">
        <v>424</v>
      </c>
      <c r="F430" s="1">
        <f t="shared" si="7"/>
        <v>927273</v>
      </c>
      <c r="G430" s="1">
        <v>5000000</v>
      </c>
      <c r="I430" t="s">
        <v>504</v>
      </c>
    </row>
    <row r="431" spans="1:9">
      <c r="A431" s="2">
        <v>45896</v>
      </c>
      <c r="B431" t="s">
        <v>245</v>
      </c>
      <c r="C431" t="s">
        <v>9</v>
      </c>
      <c r="E431" t="s">
        <v>391</v>
      </c>
      <c r="F431" s="1">
        <f t="shared" si="7"/>
        <v>5927273</v>
      </c>
      <c r="H431" s="1">
        <v>-598208</v>
      </c>
      <c r="I431" t="s">
        <v>501</v>
      </c>
    </row>
    <row r="432" spans="1:9">
      <c r="A432" s="2">
        <v>45896</v>
      </c>
      <c r="B432" t="s">
        <v>250</v>
      </c>
      <c r="C432" t="s">
        <v>9</v>
      </c>
      <c r="E432" t="s">
        <v>391</v>
      </c>
      <c r="F432" s="1">
        <f t="shared" si="7"/>
        <v>5329065</v>
      </c>
      <c r="H432" s="1">
        <v>-1204109</v>
      </c>
      <c r="I432" t="s">
        <v>500</v>
      </c>
    </row>
    <row r="433" spans="1:9">
      <c r="A433" s="2">
        <v>45896</v>
      </c>
      <c r="B433" t="s">
        <v>465</v>
      </c>
      <c r="C433" t="s">
        <v>12</v>
      </c>
      <c r="F433" s="1">
        <f t="shared" si="7"/>
        <v>4124956</v>
      </c>
      <c r="G433" s="1">
        <v>17800000</v>
      </c>
      <c r="I433" t="s">
        <v>505</v>
      </c>
    </row>
    <row r="434" spans="1:9">
      <c r="A434" s="2">
        <v>45897</v>
      </c>
      <c r="B434" t="s">
        <v>464</v>
      </c>
      <c r="C434" t="s">
        <v>12</v>
      </c>
      <c r="D434" t="s">
        <v>424</v>
      </c>
      <c r="F434" s="1">
        <f t="shared" si="7"/>
        <v>21924956</v>
      </c>
      <c r="G434" s="1">
        <v>5000000</v>
      </c>
      <c r="I434" t="s">
        <v>504</v>
      </c>
    </row>
    <row r="435" spans="1:9">
      <c r="A435" s="2">
        <v>45897</v>
      </c>
      <c r="B435" t="s">
        <v>108</v>
      </c>
      <c r="C435" t="s">
        <v>9</v>
      </c>
      <c r="E435" t="s">
        <v>462</v>
      </c>
      <c r="F435" s="1">
        <f t="shared" si="7"/>
        <v>26924956</v>
      </c>
      <c r="H435" s="1">
        <v>-855000</v>
      </c>
      <c r="I435" t="s">
        <v>506</v>
      </c>
    </row>
    <row r="436" spans="1:9">
      <c r="A436" s="2">
        <v>45897</v>
      </c>
      <c r="B436" t="s">
        <v>52</v>
      </c>
      <c r="C436" t="s">
        <v>9</v>
      </c>
      <c r="F436" s="1">
        <f t="shared" si="7"/>
        <v>26069956</v>
      </c>
      <c r="H436" s="1">
        <v>-344739</v>
      </c>
      <c r="I436" t="s">
        <v>507</v>
      </c>
    </row>
    <row r="437" spans="1:9">
      <c r="A437" s="2">
        <v>45897</v>
      </c>
      <c r="B437" t="s">
        <v>409</v>
      </c>
      <c r="C437" t="s">
        <v>16</v>
      </c>
      <c r="F437" s="1">
        <f t="shared" si="7"/>
        <v>25725217</v>
      </c>
      <c r="H437" s="1">
        <v>-7500000</v>
      </c>
    </row>
    <row r="438" spans="1:9">
      <c r="A438" s="2">
        <v>45897</v>
      </c>
      <c r="B438" t="s">
        <v>464</v>
      </c>
      <c r="C438" t="s">
        <v>12</v>
      </c>
      <c r="D438" t="s">
        <v>424</v>
      </c>
      <c r="F438" s="1">
        <f t="shared" si="7"/>
        <v>18225217</v>
      </c>
      <c r="G438" s="1">
        <v>5000000</v>
      </c>
      <c r="I438" t="s">
        <v>504</v>
      </c>
    </row>
    <row r="439" spans="1:9">
      <c r="A439" s="2">
        <v>45897</v>
      </c>
      <c r="B439" t="s">
        <v>244</v>
      </c>
      <c r="C439" t="s">
        <v>12</v>
      </c>
      <c r="D439" t="s">
        <v>424</v>
      </c>
      <c r="F439" s="1">
        <f t="shared" si="7"/>
        <v>23225217</v>
      </c>
      <c r="G439" s="1">
        <v>1783333</v>
      </c>
      <c r="I439" t="s">
        <v>504</v>
      </c>
    </row>
    <row r="440" spans="1:9">
      <c r="A440" s="2">
        <v>45898</v>
      </c>
      <c r="B440" t="s">
        <v>409</v>
      </c>
      <c r="C440" t="s">
        <v>16</v>
      </c>
      <c r="F440" s="1">
        <f t="shared" si="7"/>
        <v>25008550</v>
      </c>
      <c r="H440" s="1">
        <v>-20000000</v>
      </c>
    </row>
    <row r="441" spans="1:9">
      <c r="A441" s="2">
        <v>45901</v>
      </c>
      <c r="B441" t="s">
        <v>112</v>
      </c>
      <c r="C441" t="s">
        <v>12</v>
      </c>
      <c r="D441" t="s">
        <v>192</v>
      </c>
      <c r="F441" s="1">
        <f t="shared" si="7"/>
        <v>5008550</v>
      </c>
      <c r="G441" s="1">
        <v>1150099</v>
      </c>
      <c r="I441" t="s">
        <v>536</v>
      </c>
    </row>
    <row r="442" spans="1:9">
      <c r="A442" s="2">
        <v>45901</v>
      </c>
      <c r="B442" t="s">
        <v>41</v>
      </c>
      <c r="C442" t="s">
        <v>9</v>
      </c>
      <c r="F442" s="1">
        <f t="shared" si="7"/>
        <v>6158649</v>
      </c>
      <c r="H442" s="1">
        <v>-4000000</v>
      </c>
      <c r="I442" t="s">
        <v>508</v>
      </c>
    </row>
    <row r="443" spans="1:9">
      <c r="A443" s="2">
        <v>45901</v>
      </c>
      <c r="B443" t="s">
        <v>466</v>
      </c>
      <c r="C443" t="s">
        <v>12</v>
      </c>
      <c r="F443" s="1">
        <f t="shared" si="7"/>
        <v>2158649</v>
      </c>
      <c r="G443" s="1">
        <v>20146327</v>
      </c>
      <c r="I443" t="s">
        <v>503</v>
      </c>
    </row>
    <row r="444" spans="1:9">
      <c r="A444" s="2">
        <v>45902</v>
      </c>
      <c r="B444" t="s">
        <v>467</v>
      </c>
      <c r="C444" t="s">
        <v>9</v>
      </c>
      <c r="F444" s="1">
        <f t="shared" si="7"/>
        <v>22304976</v>
      </c>
      <c r="G444" s="1">
        <v>155500</v>
      </c>
    </row>
    <row r="445" spans="1:9">
      <c r="A445" s="2">
        <v>45902</v>
      </c>
      <c r="B445" t="s">
        <v>181</v>
      </c>
      <c r="C445" t="s">
        <v>9</v>
      </c>
      <c r="F445" s="1">
        <f t="shared" si="7"/>
        <v>22460476</v>
      </c>
      <c r="H445" s="1">
        <v>-188729</v>
      </c>
      <c r="I445" t="s">
        <v>283</v>
      </c>
    </row>
    <row r="446" spans="1:9">
      <c r="A446" s="2">
        <v>45902</v>
      </c>
      <c r="B446" t="s">
        <v>40</v>
      </c>
      <c r="C446" t="s">
        <v>9</v>
      </c>
      <c r="F446" s="1">
        <f t="shared" si="7"/>
        <v>22271747</v>
      </c>
      <c r="H446" s="1">
        <v>-155500</v>
      </c>
    </row>
    <row r="447" spans="1:9">
      <c r="A447" s="2">
        <v>45902</v>
      </c>
      <c r="B447" t="s">
        <v>108</v>
      </c>
      <c r="C447" t="s">
        <v>9</v>
      </c>
      <c r="E447" t="s">
        <v>462</v>
      </c>
      <c r="F447" s="1">
        <f t="shared" si="7"/>
        <v>22116247</v>
      </c>
      <c r="H447" s="1">
        <v>-4132500</v>
      </c>
      <c r="I447" t="s">
        <v>502</v>
      </c>
    </row>
    <row r="448" spans="1:9">
      <c r="A448" s="2">
        <v>45902</v>
      </c>
      <c r="B448" t="s">
        <v>170</v>
      </c>
      <c r="C448" t="s">
        <v>12</v>
      </c>
      <c r="D448" t="s">
        <v>197</v>
      </c>
      <c r="F448" s="1">
        <f t="shared" si="7"/>
        <v>17983747</v>
      </c>
      <c r="G448" s="1">
        <v>614940</v>
      </c>
      <c r="I448" t="s">
        <v>542</v>
      </c>
    </row>
    <row r="449" spans="1:9">
      <c r="A449" s="2">
        <v>45902</v>
      </c>
      <c r="B449" t="s">
        <v>244</v>
      </c>
      <c r="C449" t="s">
        <v>9</v>
      </c>
      <c r="F449" s="1">
        <f t="shared" si="7"/>
        <v>18598687</v>
      </c>
      <c r="G449" s="1">
        <v>164500</v>
      </c>
    </row>
    <row r="450" spans="1:9">
      <c r="A450" s="2">
        <v>45903</v>
      </c>
      <c r="B450" t="s">
        <v>40</v>
      </c>
      <c r="C450" t="s">
        <v>9</v>
      </c>
      <c r="F450" s="1">
        <f t="shared" si="7"/>
        <v>18763187</v>
      </c>
      <c r="H450" s="1">
        <v>-164500</v>
      </c>
    </row>
    <row r="451" spans="1:9">
      <c r="A451" s="2">
        <v>45903</v>
      </c>
      <c r="B451" t="s">
        <v>91</v>
      </c>
      <c r="C451" t="s">
        <v>12</v>
      </c>
      <c r="D451" t="s">
        <v>194</v>
      </c>
      <c r="F451" s="1">
        <f t="shared" si="7"/>
        <v>18598687</v>
      </c>
      <c r="G451" s="1">
        <v>381056</v>
      </c>
      <c r="I451" t="s">
        <v>540</v>
      </c>
    </row>
    <row r="452" spans="1:9">
      <c r="A452" s="2">
        <v>45903</v>
      </c>
      <c r="B452" t="s">
        <v>150</v>
      </c>
      <c r="C452" t="s">
        <v>16</v>
      </c>
      <c r="F452" s="1">
        <f t="shared" si="7"/>
        <v>18979743</v>
      </c>
      <c r="G452" s="1">
        <v>4000000</v>
      </c>
    </row>
    <row r="453" spans="1:9">
      <c r="A453" s="2">
        <v>45903</v>
      </c>
      <c r="B453" t="s">
        <v>150</v>
      </c>
      <c r="C453" t="s">
        <v>16</v>
      </c>
      <c r="F453" s="1">
        <f t="shared" si="7"/>
        <v>22979743</v>
      </c>
      <c r="G453" s="1">
        <v>8500001</v>
      </c>
    </row>
    <row r="454" spans="1:9">
      <c r="A454" s="2">
        <v>45903</v>
      </c>
      <c r="B454" t="s">
        <v>250</v>
      </c>
      <c r="C454" t="s">
        <v>20</v>
      </c>
      <c r="E454" t="s">
        <v>23</v>
      </c>
      <c r="F454" s="1">
        <f t="shared" si="7"/>
        <v>31479744</v>
      </c>
      <c r="H454" s="1">
        <v>-5000000</v>
      </c>
    </row>
    <row r="455" spans="1:9">
      <c r="A455" s="2">
        <v>45903</v>
      </c>
      <c r="B455" t="s">
        <v>405</v>
      </c>
      <c r="C455" t="s">
        <v>20</v>
      </c>
      <c r="E455" t="s">
        <v>463</v>
      </c>
      <c r="F455" s="1">
        <f t="shared" si="7"/>
        <v>26479744</v>
      </c>
      <c r="H455" s="1">
        <v>-10000000</v>
      </c>
    </row>
    <row r="456" spans="1:9">
      <c r="A456" s="2">
        <v>45903</v>
      </c>
      <c r="B456" t="s">
        <v>250</v>
      </c>
      <c r="C456" t="s">
        <v>20</v>
      </c>
      <c r="E456" t="s">
        <v>23</v>
      </c>
      <c r="F456" s="1">
        <f t="shared" si="7"/>
        <v>16479744</v>
      </c>
      <c r="H456" s="1">
        <v>-5000000</v>
      </c>
    </row>
    <row r="457" spans="1:9">
      <c r="A457" s="2">
        <v>45903</v>
      </c>
      <c r="B457" t="s">
        <v>404</v>
      </c>
      <c r="C457" t="s">
        <v>20</v>
      </c>
      <c r="E457" t="s">
        <v>461</v>
      </c>
      <c r="F457" s="1">
        <f t="shared" si="7"/>
        <v>11479744</v>
      </c>
      <c r="H457" s="1">
        <v>-5000000</v>
      </c>
    </row>
    <row r="458" spans="1:9">
      <c r="A458" s="2">
        <v>45903</v>
      </c>
      <c r="B458" t="s">
        <v>250</v>
      </c>
      <c r="C458" t="s">
        <v>20</v>
      </c>
      <c r="E458" t="s">
        <v>23</v>
      </c>
      <c r="F458" s="1">
        <f t="shared" si="7"/>
        <v>6479744</v>
      </c>
      <c r="H458" s="1">
        <v>-5000000</v>
      </c>
    </row>
    <row r="459" spans="1:9">
      <c r="A459" s="2">
        <v>45905</v>
      </c>
      <c r="B459" t="s">
        <v>41</v>
      </c>
      <c r="C459" t="s">
        <v>9</v>
      </c>
      <c r="F459" s="1">
        <f t="shared" si="7"/>
        <v>1479744</v>
      </c>
      <c r="H459" s="1">
        <v>-100000</v>
      </c>
      <c r="I459" t="s">
        <v>422</v>
      </c>
    </row>
    <row r="460" spans="1:9">
      <c r="A460" s="2">
        <v>45908</v>
      </c>
      <c r="B460" t="s">
        <v>85</v>
      </c>
      <c r="C460" t="s">
        <v>9</v>
      </c>
      <c r="F460" s="1">
        <f t="shared" si="7"/>
        <v>1379744</v>
      </c>
      <c r="H460" s="1">
        <v>-898572</v>
      </c>
      <c r="I460" t="s">
        <v>437</v>
      </c>
    </row>
    <row r="461" spans="1:9">
      <c r="A461" s="2">
        <v>45910</v>
      </c>
      <c r="B461" t="s">
        <v>166</v>
      </c>
      <c r="C461" t="s">
        <v>9</v>
      </c>
      <c r="F461" s="1">
        <f t="shared" si="7"/>
        <v>481172</v>
      </c>
      <c r="H461" s="1">
        <v>-357942</v>
      </c>
      <c r="I461" t="s">
        <v>531</v>
      </c>
    </row>
    <row r="462" spans="1:9">
      <c r="A462" s="2">
        <v>45911</v>
      </c>
      <c r="B462" t="s">
        <v>107</v>
      </c>
      <c r="C462" t="s">
        <v>9</v>
      </c>
      <c r="F462" s="1">
        <f t="shared" si="7"/>
        <v>123230</v>
      </c>
      <c r="H462" s="1">
        <v>-217772</v>
      </c>
      <c r="I462" t="s">
        <v>317</v>
      </c>
    </row>
    <row r="463" spans="1:9">
      <c r="A463" s="2">
        <v>45911</v>
      </c>
      <c r="B463" t="s">
        <v>161</v>
      </c>
      <c r="C463" t="s">
        <v>18</v>
      </c>
      <c r="F463" s="1">
        <f t="shared" si="7"/>
        <v>-94542</v>
      </c>
      <c r="G463" s="1">
        <v>94542</v>
      </c>
    </row>
    <row r="464" spans="1:9">
      <c r="A464" s="2">
        <v>45912</v>
      </c>
      <c r="B464" t="s">
        <v>150</v>
      </c>
      <c r="C464" t="s">
        <v>16</v>
      </c>
      <c r="F464" s="1">
        <f t="shared" si="7"/>
        <v>0</v>
      </c>
      <c r="G464" s="1">
        <v>600001</v>
      </c>
    </row>
    <row r="465" spans="1:9">
      <c r="A465" s="2">
        <v>45912</v>
      </c>
      <c r="B465" t="s">
        <v>165</v>
      </c>
      <c r="C465" t="s">
        <v>18</v>
      </c>
      <c r="F465" s="1">
        <f t="shared" si="7"/>
        <v>600001</v>
      </c>
      <c r="H465" s="1">
        <v>-94542</v>
      </c>
    </row>
    <row r="466" spans="1:9">
      <c r="A466" s="2">
        <v>45916</v>
      </c>
      <c r="B466" t="s">
        <v>108</v>
      </c>
      <c r="C466" t="s">
        <v>9</v>
      </c>
      <c r="F466" s="1">
        <f t="shared" si="7"/>
        <v>505459</v>
      </c>
      <c r="H466" s="1">
        <v>-68985</v>
      </c>
    </row>
    <row r="467" spans="1:9">
      <c r="A467" s="2">
        <v>45922</v>
      </c>
      <c r="B467" t="s">
        <v>108</v>
      </c>
      <c r="C467" t="s">
        <v>9</v>
      </c>
      <c r="F467" s="1">
        <f t="shared" si="7"/>
        <v>436474</v>
      </c>
      <c r="H467" s="1">
        <v>-3000</v>
      </c>
    </row>
    <row r="468" spans="1:9">
      <c r="A468" s="2">
        <v>45926</v>
      </c>
      <c r="B468" t="s">
        <v>108</v>
      </c>
      <c r="C468" t="s">
        <v>9</v>
      </c>
      <c r="F468" s="1">
        <f t="shared" si="7"/>
        <v>433474</v>
      </c>
      <c r="H468" s="1">
        <v>-9674</v>
      </c>
    </row>
    <row r="469" spans="1:9">
      <c r="A469" s="2">
        <v>45926</v>
      </c>
      <c r="B469" t="s">
        <v>108</v>
      </c>
      <c r="C469" t="s">
        <v>9</v>
      </c>
      <c r="F469" s="1">
        <f t="shared" si="7"/>
        <v>423800</v>
      </c>
      <c r="H469" s="1">
        <v>-6885</v>
      </c>
    </row>
    <row r="470" spans="1:9">
      <c r="A470" s="2">
        <v>45929</v>
      </c>
      <c r="B470" t="s">
        <v>150</v>
      </c>
      <c r="C470" t="s">
        <v>16</v>
      </c>
      <c r="F470" s="1">
        <f t="shared" si="7"/>
        <v>416915</v>
      </c>
      <c r="G470" s="1">
        <v>1500000</v>
      </c>
    </row>
    <row r="471" spans="1:9">
      <c r="A471" s="2">
        <v>45930</v>
      </c>
      <c r="B471" t="s">
        <v>37</v>
      </c>
      <c r="C471" t="s">
        <v>9</v>
      </c>
      <c r="E471" t="s">
        <v>391</v>
      </c>
      <c r="F471" s="1">
        <f t="shared" si="7"/>
        <v>1916915</v>
      </c>
      <c r="H471" s="1">
        <v>-535500</v>
      </c>
    </row>
    <row r="472" spans="1:9">
      <c r="A472" s="2">
        <v>45930</v>
      </c>
      <c r="B472" t="s">
        <v>245</v>
      </c>
      <c r="C472" t="s">
        <v>9</v>
      </c>
      <c r="E472" t="s">
        <v>391</v>
      </c>
      <c r="F472" s="1">
        <f t="shared" si="7"/>
        <v>1381415</v>
      </c>
      <c r="H472" s="1">
        <v>-1106262</v>
      </c>
    </row>
    <row r="473" spans="1:9">
      <c r="A473" s="2">
        <v>45932</v>
      </c>
      <c r="B473" t="s">
        <v>131</v>
      </c>
      <c r="C473" t="s">
        <v>12</v>
      </c>
      <c r="D473" t="s">
        <v>608</v>
      </c>
      <c r="F473" s="1">
        <f t="shared" si="7"/>
        <v>275153</v>
      </c>
      <c r="G473" s="1">
        <v>7000000</v>
      </c>
      <c r="I473" t="s">
        <v>532</v>
      </c>
    </row>
    <row r="474" spans="1:9">
      <c r="A474" s="2">
        <v>45932</v>
      </c>
      <c r="B474" t="s">
        <v>131</v>
      </c>
      <c r="C474" t="s">
        <v>12</v>
      </c>
      <c r="D474" t="s">
        <v>608</v>
      </c>
      <c r="F474" s="1">
        <f t="shared" si="7"/>
        <v>7275153</v>
      </c>
      <c r="G474" s="1">
        <v>2000000</v>
      </c>
      <c r="I474" t="s">
        <v>532</v>
      </c>
    </row>
    <row r="475" spans="1:9">
      <c r="A475" s="2">
        <v>45932</v>
      </c>
      <c r="B475" t="s">
        <v>150</v>
      </c>
      <c r="C475" t="s">
        <v>16</v>
      </c>
      <c r="F475" s="1">
        <f t="shared" si="7"/>
        <v>9275153</v>
      </c>
      <c r="G475" s="1">
        <v>5000000</v>
      </c>
    </row>
    <row r="476" spans="1:9">
      <c r="A476" s="2">
        <v>45932</v>
      </c>
      <c r="B476" t="s">
        <v>410</v>
      </c>
      <c r="C476" t="s">
        <v>9</v>
      </c>
      <c r="F476" s="1">
        <f t="shared" si="7"/>
        <v>14275153</v>
      </c>
      <c r="H476" s="1">
        <v>-592285</v>
      </c>
    </row>
    <row r="477" spans="1:9">
      <c r="A477" s="2">
        <v>45932</v>
      </c>
      <c r="B477" t="s">
        <v>108</v>
      </c>
      <c r="C477" t="s">
        <v>9</v>
      </c>
      <c r="F477" s="1">
        <f t="shared" si="7"/>
        <v>13682868</v>
      </c>
      <c r="H477" s="1">
        <v>-3420000</v>
      </c>
      <c r="I477" t="s">
        <v>533</v>
      </c>
    </row>
    <row r="478" spans="1:9">
      <c r="A478" s="2">
        <v>45932</v>
      </c>
      <c r="B478" t="s">
        <v>41</v>
      </c>
      <c r="C478" t="s">
        <v>9</v>
      </c>
      <c r="F478" s="1">
        <f t="shared" si="7"/>
        <v>10262868</v>
      </c>
      <c r="H478" s="1">
        <v>-4000000</v>
      </c>
      <c r="I478" t="s">
        <v>508</v>
      </c>
    </row>
    <row r="479" spans="1:9">
      <c r="A479" s="2">
        <v>45932</v>
      </c>
      <c r="B479" t="s">
        <v>257</v>
      </c>
      <c r="C479" t="s">
        <v>9</v>
      </c>
      <c r="F479" s="1">
        <f t="shared" si="7"/>
        <v>6262868</v>
      </c>
      <c r="H479" s="1">
        <v>-200000</v>
      </c>
      <c r="I479" t="s">
        <v>437</v>
      </c>
    </row>
    <row r="480" spans="1:9">
      <c r="A480" s="2">
        <v>45932</v>
      </c>
      <c r="B480" t="s">
        <v>52</v>
      </c>
      <c r="C480" t="s">
        <v>9</v>
      </c>
      <c r="E480" t="s">
        <v>391</v>
      </c>
      <c r="F480" s="1">
        <f t="shared" si="7"/>
        <v>6062868</v>
      </c>
      <c r="H480" s="1">
        <v>-810245</v>
      </c>
      <c r="I480" t="s">
        <v>507</v>
      </c>
    </row>
    <row r="481" spans="1:9">
      <c r="A481" s="2">
        <v>45932</v>
      </c>
      <c r="B481" t="s">
        <v>41</v>
      </c>
      <c r="C481" t="s">
        <v>9</v>
      </c>
      <c r="F481" s="1">
        <f t="shared" si="7"/>
        <v>5252623</v>
      </c>
      <c r="H481" s="1">
        <v>-100000</v>
      </c>
      <c r="I481" t="s">
        <v>422</v>
      </c>
    </row>
    <row r="482" spans="1:9">
      <c r="A482" s="2">
        <v>45932</v>
      </c>
      <c r="B482" t="s">
        <v>409</v>
      </c>
      <c r="C482" t="s">
        <v>16</v>
      </c>
      <c r="F482" s="1">
        <f t="shared" si="7"/>
        <v>5152623</v>
      </c>
      <c r="H482" s="1">
        <v>-4000000</v>
      </c>
    </row>
    <row r="483" spans="1:9">
      <c r="A483" s="2">
        <v>45932</v>
      </c>
      <c r="B483" t="s">
        <v>180</v>
      </c>
      <c r="C483" t="s">
        <v>18</v>
      </c>
      <c r="F483" s="1">
        <f t="shared" si="7"/>
        <v>1152623</v>
      </c>
      <c r="H483" s="1">
        <v>-62</v>
      </c>
    </row>
    <row r="484" spans="1:9">
      <c r="A484" s="2">
        <v>45932</v>
      </c>
      <c r="B484" t="s">
        <v>183</v>
      </c>
      <c r="C484" t="s">
        <v>18</v>
      </c>
      <c r="F484" s="1">
        <f t="shared" si="7"/>
        <v>1152561</v>
      </c>
      <c r="H484" s="1">
        <v>-44</v>
      </c>
    </row>
    <row r="485" spans="1:9">
      <c r="A485" s="2">
        <v>45933</v>
      </c>
      <c r="B485" t="s">
        <v>170</v>
      </c>
      <c r="C485" t="s">
        <v>12</v>
      </c>
      <c r="D485" t="s">
        <v>197</v>
      </c>
      <c r="F485" s="1">
        <f t="shared" si="7"/>
        <v>1152517</v>
      </c>
      <c r="G485" s="1">
        <v>616360</v>
      </c>
      <c r="I485" t="s">
        <v>543</v>
      </c>
    </row>
    <row r="486" spans="1:9">
      <c r="A486" s="2">
        <v>45933</v>
      </c>
      <c r="B486" t="s">
        <v>91</v>
      </c>
      <c r="C486" t="s">
        <v>12</v>
      </c>
      <c r="D486" t="s">
        <v>194</v>
      </c>
      <c r="F486" s="1">
        <f t="shared" ref="F486:F550" si="8">+F485+G485+H485</f>
        <v>1768877</v>
      </c>
      <c r="G486" s="1">
        <v>381830</v>
      </c>
      <c r="I486" t="s">
        <v>541</v>
      </c>
    </row>
    <row r="487" spans="1:9">
      <c r="A487" s="2">
        <v>45933</v>
      </c>
      <c r="B487" t="s">
        <v>108</v>
      </c>
      <c r="C487" t="s">
        <v>9</v>
      </c>
      <c r="E487" t="s">
        <v>391</v>
      </c>
      <c r="F487" s="1">
        <f t="shared" si="8"/>
        <v>2150707</v>
      </c>
      <c r="H487" s="1">
        <v>-14836</v>
      </c>
    </row>
    <row r="488" spans="1:9">
      <c r="A488" s="2">
        <v>45936</v>
      </c>
      <c r="B488" t="s">
        <v>112</v>
      </c>
      <c r="C488" t="s">
        <v>12</v>
      </c>
      <c r="D488" t="s">
        <v>192</v>
      </c>
      <c r="F488" s="1">
        <f t="shared" si="8"/>
        <v>2135871</v>
      </c>
      <c r="G488" s="1">
        <v>1153781</v>
      </c>
      <c r="I488" t="s">
        <v>537</v>
      </c>
    </row>
    <row r="489" spans="1:9">
      <c r="A489" s="2">
        <v>45936</v>
      </c>
      <c r="B489" t="s">
        <v>409</v>
      </c>
      <c r="C489" t="s">
        <v>16</v>
      </c>
      <c r="F489" s="1">
        <f t="shared" si="8"/>
        <v>3289652</v>
      </c>
      <c r="H489" s="1">
        <v>-1000000</v>
      </c>
    </row>
    <row r="490" spans="1:9">
      <c r="A490" s="2">
        <v>45936</v>
      </c>
      <c r="B490" t="s">
        <v>522</v>
      </c>
      <c r="C490" t="s">
        <v>10</v>
      </c>
      <c r="E490" t="s">
        <v>391</v>
      </c>
      <c r="F490" s="1">
        <f t="shared" si="8"/>
        <v>2289652</v>
      </c>
      <c r="H490" s="1">
        <v>-9000</v>
      </c>
      <c r="I490" t="s">
        <v>530</v>
      </c>
    </row>
    <row r="491" spans="1:9">
      <c r="A491" s="2">
        <v>45936</v>
      </c>
      <c r="B491" t="s">
        <v>181</v>
      </c>
      <c r="C491" t="s">
        <v>9</v>
      </c>
      <c r="F491" s="1">
        <f t="shared" si="8"/>
        <v>2280652</v>
      </c>
      <c r="H491" s="1">
        <v>-173618</v>
      </c>
      <c r="I491" t="s">
        <v>529</v>
      </c>
    </row>
    <row r="492" spans="1:9">
      <c r="A492" s="2">
        <v>45936</v>
      </c>
      <c r="B492" t="s">
        <v>523</v>
      </c>
      <c r="C492" t="s">
        <v>12</v>
      </c>
      <c r="F492" s="1">
        <f t="shared" si="8"/>
        <v>2107034</v>
      </c>
      <c r="G492" s="1">
        <v>200000</v>
      </c>
      <c r="I492" t="s">
        <v>527</v>
      </c>
    </row>
    <row r="493" spans="1:9">
      <c r="A493" s="2">
        <v>45937</v>
      </c>
      <c r="B493" t="s">
        <v>524</v>
      </c>
      <c r="C493" t="s">
        <v>9</v>
      </c>
      <c r="E493" t="s">
        <v>391</v>
      </c>
      <c r="F493" s="1">
        <f t="shared" si="8"/>
        <v>2307034</v>
      </c>
      <c r="H493" s="1">
        <v>-80000</v>
      </c>
      <c r="I493" t="s">
        <v>528</v>
      </c>
    </row>
    <row r="494" spans="1:9">
      <c r="A494" s="2">
        <v>45937</v>
      </c>
      <c r="B494" t="s">
        <v>525</v>
      </c>
      <c r="C494" t="s">
        <v>12</v>
      </c>
      <c r="F494" s="1">
        <f t="shared" si="8"/>
        <v>2227034</v>
      </c>
      <c r="G494" s="1">
        <v>200000</v>
      </c>
      <c r="I494" t="s">
        <v>526</v>
      </c>
    </row>
    <row r="495" spans="1:9">
      <c r="A495" s="2">
        <v>45938</v>
      </c>
      <c r="B495" t="s">
        <v>85</v>
      </c>
      <c r="C495" t="s">
        <v>9</v>
      </c>
      <c r="F495" s="1">
        <f t="shared" si="8"/>
        <v>2427034</v>
      </c>
      <c r="H495" s="1">
        <v>-293549</v>
      </c>
      <c r="I495" t="s">
        <v>437</v>
      </c>
    </row>
    <row r="496" spans="1:9">
      <c r="A496" s="2">
        <v>45940</v>
      </c>
      <c r="B496" t="s">
        <v>107</v>
      </c>
      <c r="C496" t="s">
        <v>9</v>
      </c>
      <c r="F496" s="1">
        <f t="shared" si="8"/>
        <v>2133485</v>
      </c>
      <c r="H496" s="1">
        <v>-137410</v>
      </c>
      <c r="I496" t="s">
        <v>317</v>
      </c>
    </row>
    <row r="497" spans="1:9">
      <c r="A497" s="2">
        <v>45943</v>
      </c>
      <c r="B497" t="s">
        <v>108</v>
      </c>
      <c r="C497" t="s">
        <v>9</v>
      </c>
      <c r="F497" s="1">
        <f t="shared" si="8"/>
        <v>1996075</v>
      </c>
      <c r="H497" s="1">
        <v>-290000</v>
      </c>
    </row>
    <row r="498" spans="1:9">
      <c r="A498" s="2">
        <v>45944</v>
      </c>
      <c r="B498" t="s">
        <v>524</v>
      </c>
      <c r="C498" t="s">
        <v>9</v>
      </c>
      <c r="E498" t="s">
        <v>391</v>
      </c>
      <c r="F498" s="1">
        <f t="shared" si="8"/>
        <v>1706075</v>
      </c>
      <c r="H498" s="1">
        <v>-80000</v>
      </c>
    </row>
    <row r="499" spans="1:9">
      <c r="A499" s="2">
        <v>45945</v>
      </c>
      <c r="B499" t="s">
        <v>42</v>
      </c>
      <c r="C499" t="s">
        <v>10</v>
      </c>
      <c r="F499" s="1">
        <f t="shared" si="8"/>
        <v>1626075</v>
      </c>
      <c r="H499" s="1">
        <v>-60000</v>
      </c>
      <c r="I499" t="s">
        <v>595</v>
      </c>
    </row>
    <row r="500" spans="1:9">
      <c r="A500" s="2">
        <v>45945</v>
      </c>
      <c r="B500" t="s">
        <v>544</v>
      </c>
      <c r="C500" t="s">
        <v>12</v>
      </c>
      <c r="F500" s="1">
        <f t="shared" si="8"/>
        <v>1566075</v>
      </c>
      <c r="G500" s="1">
        <v>17000000</v>
      </c>
      <c r="I500" t="s">
        <v>619</v>
      </c>
    </row>
    <row r="501" spans="1:9">
      <c r="A501" s="2">
        <v>45946</v>
      </c>
      <c r="B501" t="s">
        <v>409</v>
      </c>
      <c r="C501" t="s">
        <v>16</v>
      </c>
      <c r="F501" s="1">
        <f t="shared" si="8"/>
        <v>18566075</v>
      </c>
      <c r="H501" s="1">
        <v>-17000000</v>
      </c>
    </row>
    <row r="502" spans="1:9">
      <c r="A502" s="2">
        <v>45947</v>
      </c>
      <c r="B502" t="s">
        <v>545</v>
      </c>
      <c r="C502" t="s">
        <v>12</v>
      </c>
      <c r="F502" s="1">
        <f t="shared" si="8"/>
        <v>1566075</v>
      </c>
      <c r="G502" s="1">
        <v>600000</v>
      </c>
    </row>
    <row r="503" spans="1:9">
      <c r="A503" s="2">
        <v>45947</v>
      </c>
      <c r="B503" t="s">
        <v>40</v>
      </c>
      <c r="C503" t="s">
        <v>10</v>
      </c>
      <c r="F503" s="1">
        <f t="shared" si="8"/>
        <v>2166075</v>
      </c>
      <c r="H503" s="1">
        <v>-110500</v>
      </c>
    </row>
    <row r="504" spans="1:9">
      <c r="A504" s="2">
        <v>45950</v>
      </c>
      <c r="B504" t="s">
        <v>545</v>
      </c>
      <c r="C504" t="s">
        <v>12</v>
      </c>
      <c r="F504" s="1">
        <f t="shared" si="8"/>
        <v>2055575</v>
      </c>
      <c r="G504" s="1">
        <v>7000000</v>
      </c>
      <c r="I504" t="s">
        <v>546</v>
      </c>
    </row>
    <row r="505" spans="1:9">
      <c r="A505" s="2">
        <v>45950</v>
      </c>
      <c r="B505" t="s">
        <v>545</v>
      </c>
      <c r="C505" t="s">
        <v>12</v>
      </c>
      <c r="F505" s="1">
        <f t="shared" si="8"/>
        <v>9055575</v>
      </c>
      <c r="G505" s="1">
        <v>7000000</v>
      </c>
      <c r="I505" t="s">
        <v>546</v>
      </c>
    </row>
    <row r="506" spans="1:9">
      <c r="A506" s="2">
        <v>45950</v>
      </c>
      <c r="B506" t="s">
        <v>409</v>
      </c>
      <c r="C506" t="s">
        <v>16</v>
      </c>
      <c r="F506" s="1">
        <f t="shared" si="8"/>
        <v>16055575</v>
      </c>
      <c r="H506" s="1">
        <v>-15000000</v>
      </c>
    </row>
    <row r="507" spans="1:9">
      <c r="A507" s="2">
        <v>45951</v>
      </c>
      <c r="B507" t="s">
        <v>108</v>
      </c>
      <c r="C507" t="s">
        <v>9</v>
      </c>
      <c r="E507" t="s">
        <v>391</v>
      </c>
      <c r="F507" s="1">
        <f t="shared" si="8"/>
        <v>1055575</v>
      </c>
      <c r="H507" s="1">
        <v>-69846</v>
      </c>
      <c r="I507" t="s">
        <v>116</v>
      </c>
    </row>
    <row r="508" spans="1:9">
      <c r="A508" s="2">
        <v>45951</v>
      </c>
      <c r="B508" t="s">
        <v>545</v>
      </c>
      <c r="C508" t="s">
        <v>12</v>
      </c>
      <c r="F508" s="1">
        <f t="shared" si="8"/>
        <v>985729</v>
      </c>
      <c r="G508" s="1">
        <v>7000000</v>
      </c>
      <c r="I508" t="s">
        <v>546</v>
      </c>
    </row>
    <row r="509" spans="1:9">
      <c r="A509" s="2">
        <v>45951</v>
      </c>
      <c r="B509" t="s">
        <v>108</v>
      </c>
      <c r="C509" t="s">
        <v>9</v>
      </c>
      <c r="E509" t="s">
        <v>391</v>
      </c>
      <c r="F509" s="1">
        <f t="shared" si="8"/>
        <v>7985729</v>
      </c>
      <c r="H509" s="1">
        <v>-6258</v>
      </c>
      <c r="I509" t="s">
        <v>116</v>
      </c>
    </row>
    <row r="510" spans="1:9">
      <c r="A510" s="2">
        <v>45951</v>
      </c>
      <c r="B510" t="s">
        <v>108</v>
      </c>
      <c r="C510" t="s">
        <v>9</v>
      </c>
      <c r="F510" s="1">
        <f t="shared" si="8"/>
        <v>7979471</v>
      </c>
      <c r="H510" s="1">
        <v>-855000</v>
      </c>
      <c r="I510" t="s">
        <v>547</v>
      </c>
    </row>
    <row r="511" spans="1:9">
      <c r="A511" s="2">
        <v>45951</v>
      </c>
      <c r="B511" t="s">
        <v>108</v>
      </c>
      <c r="C511" t="s">
        <v>9</v>
      </c>
      <c r="E511" t="s">
        <v>391</v>
      </c>
      <c r="F511" s="1">
        <f t="shared" si="8"/>
        <v>7124471</v>
      </c>
      <c r="H511" s="1">
        <v>-12997</v>
      </c>
      <c r="I511" t="s">
        <v>549</v>
      </c>
    </row>
    <row r="512" spans="1:9">
      <c r="A512" s="2">
        <v>45951</v>
      </c>
      <c r="B512" t="s">
        <v>409</v>
      </c>
      <c r="C512" t="s">
        <v>16</v>
      </c>
      <c r="F512" s="1">
        <f t="shared" si="8"/>
        <v>7111474</v>
      </c>
      <c r="H512" s="1">
        <v>-6000000</v>
      </c>
    </row>
    <row r="513" spans="1:9">
      <c r="A513" s="2">
        <v>45952</v>
      </c>
      <c r="B513" t="s">
        <v>40</v>
      </c>
      <c r="C513" t="s">
        <v>10</v>
      </c>
      <c r="F513" s="1">
        <f t="shared" si="8"/>
        <v>1111474</v>
      </c>
      <c r="H513" s="1">
        <v>-167000</v>
      </c>
    </row>
    <row r="514" spans="1:9">
      <c r="A514" s="2">
        <v>45952</v>
      </c>
      <c r="B514" t="s">
        <v>239</v>
      </c>
      <c r="C514" t="s">
        <v>9</v>
      </c>
      <c r="F514" s="1">
        <f t="shared" si="8"/>
        <v>944474</v>
      </c>
      <c r="H514" s="1">
        <v>-50000</v>
      </c>
    </row>
    <row r="515" spans="1:9">
      <c r="A515" s="2">
        <v>45954</v>
      </c>
      <c r="B515" t="s">
        <v>524</v>
      </c>
      <c r="C515" t="s">
        <v>9</v>
      </c>
      <c r="E515" t="s">
        <v>391</v>
      </c>
      <c r="F515" s="1">
        <f t="shared" si="8"/>
        <v>894474</v>
      </c>
      <c r="H515" s="1">
        <v>-80000</v>
      </c>
    </row>
    <row r="516" spans="1:9">
      <c r="A516" s="2">
        <v>45954</v>
      </c>
      <c r="B516" t="s">
        <v>108</v>
      </c>
      <c r="C516" t="s">
        <v>9</v>
      </c>
      <c r="F516" s="1">
        <f t="shared" si="8"/>
        <v>814474</v>
      </c>
      <c r="H516" s="1">
        <v>-538500</v>
      </c>
    </row>
    <row r="517" spans="1:9">
      <c r="A517" s="2">
        <v>45957</v>
      </c>
      <c r="B517" t="s">
        <v>108</v>
      </c>
      <c r="C517" t="s">
        <v>9</v>
      </c>
      <c r="F517" s="1">
        <f t="shared" si="8"/>
        <v>275974</v>
      </c>
      <c r="H517" s="1">
        <v>-275000</v>
      </c>
    </row>
    <row r="518" spans="1:9">
      <c r="A518" s="2">
        <v>45958</v>
      </c>
      <c r="B518" t="s">
        <v>150</v>
      </c>
      <c r="C518" t="s">
        <v>16</v>
      </c>
      <c r="F518" s="1">
        <f t="shared" si="8"/>
        <v>974</v>
      </c>
      <c r="G518" s="1">
        <v>1200000</v>
      </c>
    </row>
    <row r="519" spans="1:9">
      <c r="A519" s="2">
        <v>45958</v>
      </c>
      <c r="B519" t="s">
        <v>108</v>
      </c>
      <c r="C519" t="s">
        <v>9</v>
      </c>
      <c r="F519" s="1">
        <f t="shared" si="8"/>
        <v>1200974</v>
      </c>
      <c r="H519" s="1">
        <v>-26000</v>
      </c>
    </row>
    <row r="520" spans="1:9">
      <c r="A520" s="2">
        <v>45959</v>
      </c>
      <c r="B520" t="s">
        <v>42</v>
      </c>
      <c r="C520" t="s">
        <v>10</v>
      </c>
      <c r="F520" s="1">
        <f t="shared" si="8"/>
        <v>1174974</v>
      </c>
      <c r="H520" s="1">
        <v>-60000</v>
      </c>
      <c r="I520" t="s">
        <v>596</v>
      </c>
    </row>
    <row r="521" spans="1:9">
      <c r="A521" s="2">
        <v>45960</v>
      </c>
      <c r="B521" t="s">
        <v>112</v>
      </c>
      <c r="C521" t="s">
        <v>12</v>
      </c>
      <c r="D521" t="s">
        <v>192</v>
      </c>
      <c r="F521" s="1">
        <f t="shared" si="8"/>
        <v>1114974</v>
      </c>
      <c r="G521" s="1">
        <v>1156732</v>
      </c>
      <c r="I521" t="s">
        <v>613</v>
      </c>
    </row>
    <row r="522" spans="1:9">
      <c r="A522" s="2">
        <v>45964</v>
      </c>
      <c r="B522" t="s">
        <v>170</v>
      </c>
      <c r="C522" t="s">
        <v>12</v>
      </c>
      <c r="D522" t="s">
        <v>197</v>
      </c>
      <c r="F522" s="1">
        <f t="shared" si="8"/>
        <v>2271706</v>
      </c>
      <c r="G522" s="1">
        <v>617562</v>
      </c>
      <c r="I522" t="s">
        <v>617</v>
      </c>
    </row>
    <row r="523" spans="1:9">
      <c r="A523" s="2">
        <v>45964</v>
      </c>
      <c r="B523" t="s">
        <v>46</v>
      </c>
      <c r="C523" t="s">
        <v>12</v>
      </c>
      <c r="F523" s="1">
        <f t="shared" si="8"/>
        <v>2889268</v>
      </c>
      <c r="G523" s="1">
        <v>500000</v>
      </c>
      <c r="I523" t="s">
        <v>548</v>
      </c>
    </row>
    <row r="524" spans="1:9">
      <c r="A524" s="2">
        <v>45964</v>
      </c>
      <c r="B524" t="s">
        <v>91</v>
      </c>
      <c r="C524" t="s">
        <v>12</v>
      </c>
      <c r="D524" t="s">
        <v>194</v>
      </c>
      <c r="F524" s="1">
        <f t="shared" si="8"/>
        <v>3389268</v>
      </c>
      <c r="G524" s="1">
        <v>382913</v>
      </c>
      <c r="I524" t="s">
        <v>615</v>
      </c>
    </row>
    <row r="525" spans="1:9">
      <c r="A525" s="2">
        <v>45965</v>
      </c>
      <c r="B525" t="s">
        <v>41</v>
      </c>
      <c r="C525" t="s">
        <v>9</v>
      </c>
      <c r="F525" s="1">
        <f t="shared" si="8"/>
        <v>3772181</v>
      </c>
      <c r="H525" s="1">
        <v>-100000</v>
      </c>
      <c r="I525" t="s">
        <v>53</v>
      </c>
    </row>
    <row r="526" spans="1:9">
      <c r="A526" s="2">
        <v>45965</v>
      </c>
      <c r="B526" t="s">
        <v>150</v>
      </c>
      <c r="C526" t="s">
        <v>16</v>
      </c>
      <c r="F526" s="1">
        <f t="shared" si="8"/>
        <v>3672181</v>
      </c>
      <c r="G526" s="1">
        <v>31000001</v>
      </c>
    </row>
    <row r="527" spans="1:9">
      <c r="A527" s="2">
        <v>45965</v>
      </c>
      <c r="B527" t="s">
        <v>250</v>
      </c>
      <c r="C527" t="s">
        <v>20</v>
      </c>
      <c r="F527" s="1">
        <f t="shared" si="8"/>
        <v>34672182</v>
      </c>
      <c r="H527" s="1">
        <v>-5000000</v>
      </c>
    </row>
    <row r="528" spans="1:9">
      <c r="A528" s="2">
        <v>45965</v>
      </c>
      <c r="B528" t="s">
        <v>404</v>
      </c>
      <c r="C528" t="s">
        <v>20</v>
      </c>
      <c r="F528" s="1">
        <f t="shared" si="8"/>
        <v>29672182</v>
      </c>
      <c r="H528" s="1">
        <v>-5000000</v>
      </c>
    </row>
    <row r="529" spans="1:9">
      <c r="A529" s="2">
        <v>45965</v>
      </c>
      <c r="B529" t="s">
        <v>250</v>
      </c>
      <c r="C529" t="s">
        <v>20</v>
      </c>
      <c r="F529" s="1">
        <f t="shared" si="8"/>
        <v>24672182</v>
      </c>
      <c r="H529" s="1">
        <v>-5000000</v>
      </c>
    </row>
    <row r="530" spans="1:9">
      <c r="A530" s="2">
        <v>45965</v>
      </c>
      <c r="B530" t="s">
        <v>250</v>
      </c>
      <c r="C530" t="s">
        <v>20</v>
      </c>
      <c r="F530" s="1">
        <f t="shared" si="8"/>
        <v>19672182</v>
      </c>
      <c r="H530" s="1">
        <v>-5000000</v>
      </c>
    </row>
    <row r="531" spans="1:9">
      <c r="A531" s="2">
        <v>45965</v>
      </c>
      <c r="B531" t="s">
        <v>41</v>
      </c>
      <c r="C531" t="s">
        <v>9</v>
      </c>
      <c r="F531" s="1">
        <f t="shared" si="8"/>
        <v>14672182</v>
      </c>
      <c r="H531" s="1">
        <v>-4000000</v>
      </c>
      <c r="I531" t="s">
        <v>508</v>
      </c>
    </row>
    <row r="532" spans="1:9">
      <c r="A532" s="2">
        <v>45965</v>
      </c>
      <c r="B532" t="s">
        <v>405</v>
      </c>
      <c r="C532" t="s">
        <v>20</v>
      </c>
      <c r="F532" s="1">
        <f t="shared" si="8"/>
        <v>10672182</v>
      </c>
      <c r="H532" s="1">
        <v>-10000000</v>
      </c>
    </row>
    <row r="533" spans="1:9">
      <c r="A533" s="2">
        <v>45967</v>
      </c>
      <c r="B533" t="s">
        <v>85</v>
      </c>
      <c r="C533" t="s">
        <v>9</v>
      </c>
      <c r="F533" s="1">
        <f t="shared" si="8"/>
        <v>672182</v>
      </c>
      <c r="H533" s="1">
        <v>-660812</v>
      </c>
      <c r="I533" t="s">
        <v>437</v>
      </c>
    </row>
    <row r="534" spans="1:9">
      <c r="A534" s="2">
        <v>45972</v>
      </c>
      <c r="B534" t="s">
        <v>150</v>
      </c>
      <c r="C534" t="s">
        <v>16</v>
      </c>
      <c r="F534" s="1">
        <f t="shared" si="8"/>
        <v>11370</v>
      </c>
      <c r="G534" s="1">
        <v>500000</v>
      </c>
    </row>
    <row r="535" spans="1:9">
      <c r="A535" s="2">
        <v>45972</v>
      </c>
      <c r="B535" t="s">
        <v>42</v>
      </c>
      <c r="C535" t="s">
        <v>10</v>
      </c>
      <c r="F535" s="1">
        <f t="shared" si="8"/>
        <v>511370</v>
      </c>
      <c r="H535" s="1">
        <v>-60000</v>
      </c>
      <c r="I535" t="s">
        <v>597</v>
      </c>
    </row>
    <row r="536" spans="1:9">
      <c r="A536" s="2">
        <v>45972</v>
      </c>
      <c r="B536" t="s">
        <v>550</v>
      </c>
      <c r="C536" t="s">
        <v>9</v>
      </c>
      <c r="E536" t="s">
        <v>391</v>
      </c>
      <c r="F536" s="1">
        <f t="shared" si="8"/>
        <v>451370</v>
      </c>
      <c r="H536" s="1">
        <v>-83300</v>
      </c>
    </row>
    <row r="537" spans="1:9">
      <c r="A537" s="2">
        <v>45973</v>
      </c>
      <c r="B537" t="s">
        <v>150</v>
      </c>
      <c r="C537" t="s">
        <v>16</v>
      </c>
      <c r="F537" s="1">
        <f t="shared" si="8"/>
        <v>368070</v>
      </c>
      <c r="G537" s="1">
        <v>1000000</v>
      </c>
    </row>
    <row r="538" spans="1:9">
      <c r="A538" s="2">
        <v>45973</v>
      </c>
      <c r="B538" t="s">
        <v>107</v>
      </c>
      <c r="C538" t="s">
        <v>9</v>
      </c>
      <c r="F538" s="1">
        <f t="shared" si="8"/>
        <v>1368070</v>
      </c>
      <c r="H538" s="1">
        <v>-827212</v>
      </c>
      <c r="I538" t="s">
        <v>317</v>
      </c>
    </row>
    <row r="539" spans="1:9">
      <c r="A539" s="2">
        <v>45979</v>
      </c>
      <c r="B539" t="s">
        <v>166</v>
      </c>
      <c r="C539" t="s">
        <v>9</v>
      </c>
      <c r="F539" s="1">
        <f t="shared" si="8"/>
        <v>540858</v>
      </c>
      <c r="H539" s="1">
        <v>-357942</v>
      </c>
      <c r="I539" t="s">
        <v>531</v>
      </c>
    </row>
    <row r="540" spans="1:9">
      <c r="A540" s="2">
        <v>45979</v>
      </c>
      <c r="B540" t="s">
        <v>524</v>
      </c>
      <c r="C540" t="s">
        <v>9</v>
      </c>
      <c r="E540" t="s">
        <v>391</v>
      </c>
      <c r="F540" s="1">
        <f t="shared" si="8"/>
        <v>182916</v>
      </c>
      <c r="H540" s="1">
        <v>-80000</v>
      </c>
      <c r="I540" t="s">
        <v>554</v>
      </c>
    </row>
    <row r="541" spans="1:9">
      <c r="A541" s="2">
        <v>45979</v>
      </c>
      <c r="B541" t="s">
        <v>524</v>
      </c>
      <c r="C541" t="s">
        <v>9</v>
      </c>
      <c r="F541" s="1">
        <f t="shared" si="8"/>
        <v>102916</v>
      </c>
      <c r="H541" s="1">
        <v>-40000</v>
      </c>
      <c r="I541" t="s">
        <v>555</v>
      </c>
    </row>
    <row r="542" spans="1:9">
      <c r="A542" s="2">
        <v>45981</v>
      </c>
      <c r="B542" t="s">
        <v>150</v>
      </c>
      <c r="C542" t="s">
        <v>16</v>
      </c>
      <c r="F542" s="1">
        <f t="shared" si="8"/>
        <v>62916</v>
      </c>
      <c r="G542" s="1">
        <v>1500000</v>
      </c>
    </row>
    <row r="543" spans="1:9">
      <c r="A543" s="2">
        <v>45981</v>
      </c>
      <c r="B543" t="s">
        <v>181</v>
      </c>
      <c r="C543" t="s">
        <v>9</v>
      </c>
      <c r="F543" s="1">
        <f t="shared" si="8"/>
        <v>1562916</v>
      </c>
      <c r="H543" s="1">
        <v>-281133</v>
      </c>
      <c r="I543" t="s">
        <v>283</v>
      </c>
    </row>
    <row r="544" spans="1:9">
      <c r="A544" s="2">
        <v>45985</v>
      </c>
      <c r="B544" t="s">
        <v>551</v>
      </c>
      <c r="C544" t="s">
        <v>12</v>
      </c>
      <c r="D544" t="s">
        <v>556</v>
      </c>
      <c r="F544" s="1">
        <f t="shared" si="8"/>
        <v>1281783</v>
      </c>
      <c r="G544" s="1">
        <v>200000</v>
      </c>
      <c r="I544" t="s">
        <v>145</v>
      </c>
    </row>
    <row r="545" spans="1:9">
      <c r="A545" s="2">
        <v>45985</v>
      </c>
      <c r="B545" t="s">
        <v>524</v>
      </c>
      <c r="C545" t="s">
        <v>9</v>
      </c>
      <c r="E545" t="s">
        <v>391</v>
      </c>
      <c r="F545" s="1">
        <f t="shared" si="8"/>
        <v>1481783</v>
      </c>
      <c r="H545" s="1">
        <v>-80000</v>
      </c>
      <c r="I545" t="s">
        <v>528</v>
      </c>
    </row>
    <row r="546" spans="1:9">
      <c r="A546" s="2">
        <v>45985</v>
      </c>
      <c r="B546" t="s">
        <v>524</v>
      </c>
      <c r="C546" t="s">
        <v>9</v>
      </c>
      <c r="E546" t="s">
        <v>391</v>
      </c>
      <c r="F546" s="1">
        <f t="shared" si="8"/>
        <v>1401783</v>
      </c>
      <c r="H546" s="1">
        <v>-40000</v>
      </c>
      <c r="I546" t="s">
        <v>557</v>
      </c>
    </row>
    <row r="547" spans="1:9">
      <c r="A547" s="2">
        <v>45985</v>
      </c>
      <c r="B547" t="s">
        <v>552</v>
      </c>
      <c r="C547" t="s">
        <v>12</v>
      </c>
      <c r="D547" t="s">
        <v>556</v>
      </c>
      <c r="F547" s="1">
        <f t="shared" si="8"/>
        <v>1361783</v>
      </c>
      <c r="G547" s="1">
        <v>19745000</v>
      </c>
      <c r="I547" t="s">
        <v>558</v>
      </c>
    </row>
    <row r="548" spans="1:9">
      <c r="A548" s="2">
        <v>45986</v>
      </c>
      <c r="B548" t="s">
        <v>553</v>
      </c>
      <c r="C548" t="s">
        <v>9</v>
      </c>
      <c r="F548" s="1">
        <f t="shared" si="8"/>
        <v>21106783</v>
      </c>
      <c r="H548" s="1">
        <v>-50000</v>
      </c>
      <c r="I548" t="s">
        <v>559</v>
      </c>
    </row>
    <row r="549" spans="1:9">
      <c r="A549" s="2">
        <v>45986</v>
      </c>
      <c r="B549" t="s">
        <v>108</v>
      </c>
      <c r="C549" t="s">
        <v>9</v>
      </c>
      <c r="F549" s="1">
        <f t="shared" si="8"/>
        <v>21056783</v>
      </c>
      <c r="H549" s="1">
        <v>-256500</v>
      </c>
      <c r="I549" t="s">
        <v>560</v>
      </c>
    </row>
    <row r="550" spans="1:9">
      <c r="A550" s="2">
        <v>45987</v>
      </c>
      <c r="B550" t="s">
        <v>409</v>
      </c>
      <c r="C550" t="s">
        <v>16</v>
      </c>
      <c r="F550" s="1">
        <f t="shared" si="8"/>
        <v>20800283</v>
      </c>
      <c r="H550" s="1">
        <v>-20000000</v>
      </c>
    </row>
    <row r="551" spans="1:9">
      <c r="A551" s="2">
        <v>45992</v>
      </c>
      <c r="B551" t="s">
        <v>112</v>
      </c>
      <c r="C551" t="s">
        <v>12</v>
      </c>
      <c r="D551" t="s">
        <v>192</v>
      </c>
      <c r="F551" s="1">
        <f t="shared" ref="F551:F592" si="9">+F550+G550+H550</f>
        <v>800283</v>
      </c>
      <c r="G551" s="1">
        <v>1158397</v>
      </c>
      <c r="I551" t="s">
        <v>614</v>
      </c>
    </row>
    <row r="552" spans="1:9">
      <c r="A552" s="2">
        <v>45993</v>
      </c>
      <c r="B552" t="s">
        <v>170</v>
      </c>
      <c r="C552" t="s">
        <v>12</v>
      </c>
      <c r="D552" t="s">
        <v>197</v>
      </c>
      <c r="F552" s="1">
        <f t="shared" si="9"/>
        <v>1958680</v>
      </c>
      <c r="G552" s="1">
        <v>616907</v>
      </c>
      <c r="I552" t="s">
        <v>618</v>
      </c>
    </row>
    <row r="553" spans="1:9">
      <c r="A553" s="2">
        <v>45993</v>
      </c>
      <c r="B553" t="s">
        <v>150</v>
      </c>
      <c r="C553" t="s">
        <v>16</v>
      </c>
      <c r="F553" s="1">
        <f t="shared" si="9"/>
        <v>2575587</v>
      </c>
      <c r="G553" s="1">
        <v>12000000</v>
      </c>
    </row>
    <row r="554" spans="1:9">
      <c r="A554" s="2">
        <v>45995</v>
      </c>
      <c r="B554" t="s">
        <v>91</v>
      </c>
      <c r="C554" t="s">
        <v>12</v>
      </c>
      <c r="D554" t="s">
        <v>194</v>
      </c>
      <c r="F554" s="1">
        <f t="shared" si="9"/>
        <v>14575587</v>
      </c>
      <c r="G554" s="1">
        <v>383357</v>
      </c>
      <c r="I554" t="s">
        <v>616</v>
      </c>
    </row>
    <row r="555" spans="1:9">
      <c r="A555" s="2">
        <v>45995</v>
      </c>
      <c r="B555" t="s">
        <v>41</v>
      </c>
      <c r="C555" t="s">
        <v>9</v>
      </c>
      <c r="F555" s="1">
        <f t="shared" si="9"/>
        <v>14958944</v>
      </c>
      <c r="H555" s="1">
        <v>-4000000</v>
      </c>
    </row>
    <row r="556" spans="1:9">
      <c r="A556" s="2">
        <v>45995</v>
      </c>
      <c r="B556" t="s">
        <v>524</v>
      </c>
      <c r="C556" t="s">
        <v>9</v>
      </c>
      <c r="E556" t="s">
        <v>391</v>
      </c>
      <c r="F556" s="1">
        <f t="shared" si="9"/>
        <v>10958944</v>
      </c>
      <c r="H556" s="1">
        <v>-80000</v>
      </c>
    </row>
    <row r="557" spans="1:9">
      <c r="A557" s="2">
        <v>45995</v>
      </c>
      <c r="B557" t="s">
        <v>524</v>
      </c>
      <c r="C557" t="s">
        <v>9</v>
      </c>
      <c r="E557" t="s">
        <v>391</v>
      </c>
      <c r="F557" s="1">
        <f t="shared" si="9"/>
        <v>10878944</v>
      </c>
      <c r="H557" s="1">
        <v>-80000</v>
      </c>
    </row>
    <row r="558" spans="1:9">
      <c r="A558" s="2">
        <v>45995</v>
      </c>
      <c r="B558" t="s">
        <v>41</v>
      </c>
      <c r="C558" t="s">
        <v>9</v>
      </c>
      <c r="F558" s="1">
        <f t="shared" si="9"/>
        <v>10798944</v>
      </c>
      <c r="H558" s="1">
        <v>-100000</v>
      </c>
    </row>
    <row r="559" spans="1:9">
      <c r="A559" s="2">
        <v>45995</v>
      </c>
      <c r="B559" t="s">
        <v>108</v>
      </c>
      <c r="C559" t="s">
        <v>9</v>
      </c>
      <c r="E559" t="s">
        <v>391</v>
      </c>
      <c r="F559" s="1">
        <f t="shared" si="9"/>
        <v>10698944</v>
      </c>
      <c r="H559" s="1">
        <v>-3800</v>
      </c>
      <c r="I559" t="s">
        <v>570</v>
      </c>
    </row>
    <row r="560" spans="1:9">
      <c r="A560" s="2">
        <v>45996</v>
      </c>
      <c r="B560" t="s">
        <v>150</v>
      </c>
      <c r="C560" t="s">
        <v>16</v>
      </c>
      <c r="F560" s="1">
        <f t="shared" si="9"/>
        <v>10695144</v>
      </c>
      <c r="G560" s="1">
        <v>8000001</v>
      </c>
    </row>
    <row r="561" spans="1:9">
      <c r="A561" s="2">
        <v>45996</v>
      </c>
      <c r="B561" t="s">
        <v>404</v>
      </c>
      <c r="C561" t="s">
        <v>20</v>
      </c>
      <c r="E561" t="s">
        <v>461</v>
      </c>
      <c r="F561" s="1">
        <f t="shared" si="9"/>
        <v>18695145</v>
      </c>
      <c r="H561" s="1">
        <v>-3000000</v>
      </c>
    </row>
    <row r="562" spans="1:9">
      <c r="A562" s="2">
        <v>45996</v>
      </c>
      <c r="B562" t="s">
        <v>405</v>
      </c>
      <c r="C562" t="s">
        <v>20</v>
      </c>
      <c r="E562" t="s">
        <v>463</v>
      </c>
      <c r="F562" s="1">
        <f t="shared" si="9"/>
        <v>15695145</v>
      </c>
      <c r="H562" s="1">
        <v>-6000000</v>
      </c>
    </row>
    <row r="563" spans="1:9">
      <c r="A563" s="2">
        <v>45996</v>
      </c>
      <c r="B563" t="s">
        <v>250</v>
      </c>
      <c r="C563" t="s">
        <v>20</v>
      </c>
      <c r="E563" t="s">
        <v>23</v>
      </c>
      <c r="F563" s="1">
        <f t="shared" si="9"/>
        <v>9695145</v>
      </c>
      <c r="H563" s="1">
        <v>-5000000</v>
      </c>
    </row>
    <row r="564" spans="1:9">
      <c r="A564" s="2">
        <v>45996</v>
      </c>
      <c r="B564" t="s">
        <v>250</v>
      </c>
      <c r="C564" t="s">
        <v>20</v>
      </c>
      <c r="E564" t="s">
        <v>23</v>
      </c>
      <c r="F564" s="1">
        <f t="shared" si="9"/>
        <v>4695145</v>
      </c>
      <c r="H564" s="1">
        <v>-4000000</v>
      </c>
    </row>
    <row r="565" spans="1:9">
      <c r="A565" s="2">
        <v>46000</v>
      </c>
      <c r="B565" t="s">
        <v>150</v>
      </c>
      <c r="C565" t="s">
        <v>16</v>
      </c>
      <c r="F565" s="1">
        <f t="shared" si="9"/>
        <v>695145</v>
      </c>
      <c r="G565" s="1">
        <v>2000000</v>
      </c>
    </row>
    <row r="566" spans="1:9">
      <c r="A566" s="2">
        <v>46000</v>
      </c>
      <c r="B566" t="s">
        <v>524</v>
      </c>
      <c r="C566" t="s">
        <v>9</v>
      </c>
      <c r="E566" t="s">
        <v>391</v>
      </c>
      <c r="F566" s="1">
        <f t="shared" si="9"/>
        <v>2695145</v>
      </c>
      <c r="H566" s="1">
        <v>-80000</v>
      </c>
    </row>
    <row r="567" spans="1:9">
      <c r="A567" s="2">
        <v>46000</v>
      </c>
      <c r="B567" t="s">
        <v>250</v>
      </c>
      <c r="C567" t="s">
        <v>9</v>
      </c>
      <c r="F567" s="1">
        <f t="shared" si="9"/>
        <v>2615145</v>
      </c>
      <c r="H567" s="1">
        <v>-337232</v>
      </c>
      <c r="I567" t="s">
        <v>602</v>
      </c>
    </row>
    <row r="568" spans="1:9">
      <c r="A568" s="2">
        <v>46000</v>
      </c>
      <c r="B568" t="s">
        <v>245</v>
      </c>
      <c r="C568" t="s">
        <v>9</v>
      </c>
      <c r="F568" s="1">
        <f t="shared" si="9"/>
        <v>2277913</v>
      </c>
      <c r="H568" s="1">
        <v>-1619299</v>
      </c>
      <c r="I568" t="s">
        <v>603</v>
      </c>
    </row>
    <row r="569" spans="1:9">
      <c r="A569" s="2">
        <v>46000</v>
      </c>
      <c r="B569" t="s">
        <v>108</v>
      </c>
      <c r="C569" t="s">
        <v>9</v>
      </c>
      <c r="F569" s="1">
        <f t="shared" si="9"/>
        <v>658614</v>
      </c>
      <c r="H569" s="1">
        <v>-6600</v>
      </c>
    </row>
    <row r="570" spans="1:9">
      <c r="A570" s="2">
        <v>46000</v>
      </c>
      <c r="B570" t="s">
        <v>108</v>
      </c>
      <c r="C570" t="s">
        <v>9</v>
      </c>
      <c r="F570" s="1">
        <f t="shared" si="9"/>
        <v>652014</v>
      </c>
      <c r="H570" s="1">
        <v>-2100</v>
      </c>
    </row>
    <row r="571" spans="1:9">
      <c r="A571" s="2">
        <v>46000</v>
      </c>
      <c r="B571" t="s">
        <v>85</v>
      </c>
      <c r="C571" t="s">
        <v>9</v>
      </c>
      <c r="F571" s="1">
        <f t="shared" si="9"/>
        <v>649914</v>
      </c>
      <c r="H571" s="1">
        <v>-1589126</v>
      </c>
      <c r="I571" t="s">
        <v>604</v>
      </c>
    </row>
    <row r="572" spans="1:9">
      <c r="A572" s="2">
        <v>46000</v>
      </c>
      <c r="B572" t="s">
        <v>161</v>
      </c>
      <c r="C572" t="s">
        <v>18</v>
      </c>
      <c r="F572" s="1">
        <f t="shared" si="9"/>
        <v>-939212</v>
      </c>
      <c r="G572" s="1">
        <v>939212</v>
      </c>
    </row>
    <row r="573" spans="1:9">
      <c r="A573" s="2">
        <v>46002</v>
      </c>
      <c r="B573" t="s">
        <v>150</v>
      </c>
      <c r="C573" t="s">
        <v>16</v>
      </c>
      <c r="F573" s="1">
        <f t="shared" si="9"/>
        <v>0</v>
      </c>
      <c r="G573" s="1">
        <v>2000000</v>
      </c>
    </row>
    <row r="574" spans="1:9">
      <c r="A574" s="2">
        <v>46002</v>
      </c>
      <c r="B574" t="s">
        <v>107</v>
      </c>
      <c r="C574" t="s">
        <v>9</v>
      </c>
      <c r="F574" s="1">
        <f t="shared" si="9"/>
        <v>2000000</v>
      </c>
      <c r="H574" s="1">
        <v>-92682</v>
      </c>
    </row>
    <row r="575" spans="1:9">
      <c r="A575" s="2">
        <v>46002</v>
      </c>
      <c r="B575" t="s">
        <v>108</v>
      </c>
      <c r="C575" t="s">
        <v>9</v>
      </c>
      <c r="F575" s="1">
        <f t="shared" si="9"/>
        <v>1907318</v>
      </c>
      <c r="H575" s="1">
        <v>-359518</v>
      </c>
      <c r="I575" t="s">
        <v>611</v>
      </c>
    </row>
    <row r="576" spans="1:9">
      <c r="A576" s="2">
        <v>46002</v>
      </c>
      <c r="B576" t="s">
        <v>598</v>
      </c>
      <c r="C576" t="s">
        <v>12</v>
      </c>
      <c r="F576" s="1">
        <f t="shared" si="9"/>
        <v>1547800</v>
      </c>
      <c r="H576" s="1">
        <v>-200000</v>
      </c>
      <c r="I576" t="s">
        <v>605</v>
      </c>
    </row>
    <row r="577" spans="1:9">
      <c r="A577" s="2">
        <v>46002</v>
      </c>
      <c r="B577" t="s">
        <v>599</v>
      </c>
      <c r="C577" t="s">
        <v>12</v>
      </c>
      <c r="F577" s="1">
        <f t="shared" si="9"/>
        <v>1347800</v>
      </c>
      <c r="H577" s="1">
        <v>-200000</v>
      </c>
      <c r="I577" t="s">
        <v>606</v>
      </c>
    </row>
    <row r="578" spans="1:9">
      <c r="A578" s="2">
        <v>46002</v>
      </c>
      <c r="B578" t="s">
        <v>165</v>
      </c>
      <c r="C578" t="s">
        <v>18</v>
      </c>
      <c r="F578" s="1">
        <f t="shared" si="9"/>
        <v>1147800</v>
      </c>
      <c r="H578" s="1">
        <v>-939212</v>
      </c>
    </row>
    <row r="579" spans="1:9">
      <c r="A579" s="2">
        <v>46006</v>
      </c>
      <c r="B579" t="s">
        <v>600</v>
      </c>
      <c r="C579" t="s">
        <v>12</v>
      </c>
      <c r="F579" s="1">
        <f t="shared" si="9"/>
        <v>208588</v>
      </c>
      <c r="G579" s="1">
        <v>200000</v>
      </c>
      <c r="I579" t="s">
        <v>607</v>
      </c>
    </row>
    <row r="580" spans="1:9">
      <c r="A580" s="2">
        <v>46006</v>
      </c>
      <c r="B580" t="s">
        <v>131</v>
      </c>
      <c r="C580" t="s">
        <v>12</v>
      </c>
      <c r="D580" t="s">
        <v>608</v>
      </c>
      <c r="F580" s="1">
        <f t="shared" si="9"/>
        <v>408588</v>
      </c>
      <c r="G580" s="1">
        <v>3432082</v>
      </c>
      <c r="I580" t="s">
        <v>202</v>
      </c>
    </row>
    <row r="581" spans="1:9">
      <c r="A581" s="2">
        <v>46006</v>
      </c>
      <c r="B581" t="s">
        <v>409</v>
      </c>
      <c r="C581" t="s">
        <v>16</v>
      </c>
      <c r="F581" s="1">
        <f t="shared" si="9"/>
        <v>3840670</v>
      </c>
      <c r="H581" s="1">
        <v>-3000000</v>
      </c>
    </row>
    <row r="582" spans="1:9">
      <c r="A582" s="2">
        <v>46007</v>
      </c>
      <c r="B582" t="s">
        <v>108</v>
      </c>
      <c r="C582" t="s">
        <v>9</v>
      </c>
      <c r="F582" s="1">
        <f t="shared" si="9"/>
        <v>840670</v>
      </c>
      <c r="H582" s="1">
        <v>-17200</v>
      </c>
    </row>
    <row r="583" spans="1:9">
      <c r="A583" s="2">
        <v>46007</v>
      </c>
      <c r="B583" t="s">
        <v>107</v>
      </c>
      <c r="C583" t="s">
        <v>9</v>
      </c>
      <c r="F583" s="1">
        <f t="shared" si="9"/>
        <v>823470</v>
      </c>
      <c r="H583" s="1">
        <v>-27617</v>
      </c>
    </row>
    <row r="584" spans="1:9">
      <c r="A584" s="2">
        <v>46008</v>
      </c>
      <c r="B584" t="s">
        <v>150</v>
      </c>
      <c r="C584" t="s">
        <v>16</v>
      </c>
      <c r="F584" s="1">
        <f t="shared" si="9"/>
        <v>795853</v>
      </c>
      <c r="G584" s="1">
        <v>5000000</v>
      </c>
    </row>
    <row r="585" spans="1:9">
      <c r="A585" s="2">
        <v>46008</v>
      </c>
      <c r="B585" t="s">
        <v>108</v>
      </c>
      <c r="C585" t="s">
        <v>9</v>
      </c>
      <c r="F585" s="1">
        <f t="shared" si="9"/>
        <v>5795853</v>
      </c>
      <c r="H585" s="1">
        <v>-35000</v>
      </c>
    </row>
    <row r="586" spans="1:9">
      <c r="A586" s="2">
        <v>46009</v>
      </c>
      <c r="B586" t="s">
        <v>601</v>
      </c>
      <c r="C586" t="s">
        <v>9</v>
      </c>
      <c r="F586" s="1">
        <f t="shared" si="9"/>
        <v>5760853</v>
      </c>
      <c r="H586" s="1">
        <v>-4770001</v>
      </c>
      <c r="I586" t="s">
        <v>612</v>
      </c>
    </row>
    <row r="587" spans="1:9">
      <c r="A587" s="2">
        <v>46009</v>
      </c>
      <c r="B587" t="s">
        <v>42</v>
      </c>
      <c r="C587" t="s">
        <v>10</v>
      </c>
      <c r="F587" s="1">
        <f t="shared" si="9"/>
        <v>990852</v>
      </c>
      <c r="H587" s="1">
        <v>-60000</v>
      </c>
    </row>
    <row r="588" spans="1:9">
      <c r="A588" s="2">
        <v>46010</v>
      </c>
      <c r="B588" t="s">
        <v>37</v>
      </c>
      <c r="C588" t="s">
        <v>9</v>
      </c>
      <c r="F588" s="1">
        <f t="shared" si="9"/>
        <v>930852</v>
      </c>
      <c r="H588" s="1">
        <v>-178500</v>
      </c>
    </row>
    <row r="589" spans="1:9">
      <c r="A589" s="2">
        <v>46013</v>
      </c>
      <c r="B589" t="s">
        <v>256</v>
      </c>
      <c r="C589" t="s">
        <v>9</v>
      </c>
      <c r="F589" s="1">
        <f t="shared" si="9"/>
        <v>752352</v>
      </c>
      <c r="H589" s="1">
        <v>-75000</v>
      </c>
      <c r="I589" t="s">
        <v>290</v>
      </c>
    </row>
    <row r="590" spans="1:9">
      <c r="A590" s="2">
        <v>46017</v>
      </c>
      <c r="B590" t="s">
        <v>108</v>
      </c>
      <c r="C590" t="s">
        <v>9</v>
      </c>
      <c r="F590" s="1">
        <f t="shared" si="9"/>
        <v>677352</v>
      </c>
      <c r="H590" s="1">
        <v>-100000</v>
      </c>
    </row>
    <row r="591" spans="1:9">
      <c r="A591" s="2">
        <v>46020</v>
      </c>
      <c r="B591" t="s">
        <v>524</v>
      </c>
      <c r="C591" t="s">
        <v>9</v>
      </c>
      <c r="E591" t="s">
        <v>391</v>
      </c>
      <c r="F591" s="1">
        <f t="shared" si="9"/>
        <v>577352</v>
      </c>
      <c r="H591" s="1">
        <v>-80000</v>
      </c>
    </row>
    <row r="592" spans="1:9">
      <c r="F592" s="1">
        <f t="shared" si="9"/>
        <v>497352</v>
      </c>
    </row>
    <row r="616" spans="6:6">
      <c r="F616" s="1">
        <f t="shared" ref="F616:F678" si="10">+F615+G615+H615</f>
        <v>0</v>
      </c>
    </row>
    <row r="617" spans="6:6">
      <c r="F617" s="1">
        <f t="shared" si="10"/>
        <v>0</v>
      </c>
    </row>
    <row r="618" spans="6:6">
      <c r="F618" s="1">
        <f t="shared" si="10"/>
        <v>0</v>
      </c>
    </row>
    <row r="619" spans="6:6">
      <c r="F619" s="1">
        <f t="shared" si="10"/>
        <v>0</v>
      </c>
    </row>
    <row r="620" spans="6:6">
      <c r="F620" s="1">
        <f t="shared" si="10"/>
        <v>0</v>
      </c>
    </row>
    <row r="621" spans="6:6">
      <c r="F621" s="1">
        <f t="shared" si="10"/>
        <v>0</v>
      </c>
    </row>
    <row r="622" spans="6:6">
      <c r="F622" s="1">
        <f t="shared" si="10"/>
        <v>0</v>
      </c>
    </row>
    <row r="623" spans="6:6">
      <c r="F623" s="1">
        <f t="shared" si="10"/>
        <v>0</v>
      </c>
    </row>
    <row r="624" spans="6:6">
      <c r="F624" s="1">
        <f t="shared" si="10"/>
        <v>0</v>
      </c>
    </row>
    <row r="625" spans="6:6">
      <c r="F625" s="1">
        <f t="shared" si="10"/>
        <v>0</v>
      </c>
    </row>
    <row r="626" spans="6:6">
      <c r="F626" s="1">
        <f t="shared" si="10"/>
        <v>0</v>
      </c>
    </row>
    <row r="627" spans="6:6">
      <c r="F627" s="1">
        <f t="shared" si="10"/>
        <v>0</v>
      </c>
    </row>
    <row r="628" spans="6:6">
      <c r="F628" s="1">
        <f t="shared" si="10"/>
        <v>0</v>
      </c>
    </row>
    <row r="629" spans="6:6">
      <c r="F629" s="1">
        <f t="shared" si="10"/>
        <v>0</v>
      </c>
    </row>
    <row r="630" spans="6:6">
      <c r="F630" s="1">
        <f t="shared" si="10"/>
        <v>0</v>
      </c>
    </row>
    <row r="631" spans="6:6">
      <c r="F631" s="1">
        <f t="shared" si="10"/>
        <v>0</v>
      </c>
    </row>
    <row r="632" spans="6:6">
      <c r="F632" s="1">
        <f t="shared" si="10"/>
        <v>0</v>
      </c>
    </row>
    <row r="633" spans="6:6">
      <c r="F633" s="1">
        <f t="shared" si="10"/>
        <v>0</v>
      </c>
    </row>
    <row r="634" spans="6:6">
      <c r="F634" s="1">
        <f t="shared" si="10"/>
        <v>0</v>
      </c>
    </row>
    <row r="635" spans="6:6">
      <c r="F635" s="1">
        <f t="shared" si="10"/>
        <v>0</v>
      </c>
    </row>
    <row r="636" spans="6:6">
      <c r="F636" s="1">
        <f t="shared" si="10"/>
        <v>0</v>
      </c>
    </row>
    <row r="637" spans="6:6">
      <c r="F637" s="1">
        <f t="shared" si="10"/>
        <v>0</v>
      </c>
    </row>
    <row r="638" spans="6:6">
      <c r="F638" s="1">
        <f t="shared" si="10"/>
        <v>0</v>
      </c>
    </row>
    <row r="639" spans="6:6">
      <c r="F639" s="1">
        <f t="shared" si="10"/>
        <v>0</v>
      </c>
    </row>
    <row r="640" spans="6:6">
      <c r="F640" s="1">
        <f t="shared" si="10"/>
        <v>0</v>
      </c>
    </row>
    <row r="641" spans="6:6">
      <c r="F641" s="1">
        <f t="shared" si="10"/>
        <v>0</v>
      </c>
    </row>
    <row r="642" spans="6:6">
      <c r="F642" s="1">
        <f t="shared" si="10"/>
        <v>0</v>
      </c>
    </row>
    <row r="643" spans="6:6">
      <c r="F643" s="1">
        <f t="shared" si="10"/>
        <v>0</v>
      </c>
    </row>
    <row r="644" spans="6:6">
      <c r="F644" s="1">
        <f t="shared" si="10"/>
        <v>0</v>
      </c>
    </row>
    <row r="645" spans="6:6">
      <c r="F645" s="1">
        <f t="shared" si="10"/>
        <v>0</v>
      </c>
    </row>
    <row r="646" spans="6:6">
      <c r="F646" s="1">
        <f t="shared" si="10"/>
        <v>0</v>
      </c>
    </row>
    <row r="647" spans="6:6">
      <c r="F647" s="1">
        <f t="shared" si="10"/>
        <v>0</v>
      </c>
    </row>
    <row r="648" spans="6:6">
      <c r="F648" s="1">
        <f t="shared" si="10"/>
        <v>0</v>
      </c>
    </row>
    <row r="649" spans="6:6">
      <c r="F649" s="1">
        <f t="shared" si="10"/>
        <v>0</v>
      </c>
    </row>
    <row r="650" spans="6:6">
      <c r="F650" s="1">
        <f t="shared" si="10"/>
        <v>0</v>
      </c>
    </row>
    <row r="651" spans="6:6">
      <c r="F651" s="1">
        <f t="shared" si="10"/>
        <v>0</v>
      </c>
    </row>
    <row r="652" spans="6:6">
      <c r="F652" s="1">
        <f t="shared" si="10"/>
        <v>0</v>
      </c>
    </row>
    <row r="653" spans="6:6">
      <c r="F653" s="1">
        <f t="shared" si="10"/>
        <v>0</v>
      </c>
    </row>
    <row r="654" spans="6:6">
      <c r="F654" s="1">
        <f t="shared" si="10"/>
        <v>0</v>
      </c>
    </row>
    <row r="655" spans="6:6">
      <c r="F655" s="1">
        <f t="shared" si="10"/>
        <v>0</v>
      </c>
    </row>
    <row r="656" spans="6:6">
      <c r="F656" s="1">
        <f t="shared" si="10"/>
        <v>0</v>
      </c>
    </row>
    <row r="657" spans="6:6">
      <c r="F657" s="1">
        <f t="shared" si="10"/>
        <v>0</v>
      </c>
    </row>
    <row r="658" spans="6:6">
      <c r="F658" s="1">
        <f t="shared" si="10"/>
        <v>0</v>
      </c>
    </row>
    <row r="659" spans="6:6">
      <c r="F659" s="1">
        <f t="shared" si="10"/>
        <v>0</v>
      </c>
    </row>
    <row r="660" spans="6:6">
      <c r="F660" s="1">
        <f t="shared" si="10"/>
        <v>0</v>
      </c>
    </row>
    <row r="661" spans="6:6">
      <c r="F661" s="1">
        <f t="shared" si="10"/>
        <v>0</v>
      </c>
    </row>
    <row r="662" spans="6:6">
      <c r="F662" s="1">
        <f t="shared" si="10"/>
        <v>0</v>
      </c>
    </row>
    <row r="663" spans="6:6">
      <c r="F663" s="1">
        <f t="shared" si="10"/>
        <v>0</v>
      </c>
    </row>
    <row r="664" spans="6:6">
      <c r="F664" s="1">
        <f t="shared" si="10"/>
        <v>0</v>
      </c>
    </row>
    <row r="665" spans="6:6">
      <c r="F665" s="1">
        <f t="shared" si="10"/>
        <v>0</v>
      </c>
    </row>
    <row r="666" spans="6:6">
      <c r="F666" s="1">
        <f t="shared" si="10"/>
        <v>0</v>
      </c>
    </row>
    <row r="667" spans="6:6">
      <c r="F667" s="1">
        <f t="shared" si="10"/>
        <v>0</v>
      </c>
    </row>
    <row r="668" spans="6:6">
      <c r="F668" s="1">
        <f t="shared" si="10"/>
        <v>0</v>
      </c>
    </row>
    <row r="669" spans="6:6">
      <c r="F669" s="1">
        <f t="shared" si="10"/>
        <v>0</v>
      </c>
    </row>
    <row r="670" spans="6:6">
      <c r="F670" s="1">
        <f t="shared" si="10"/>
        <v>0</v>
      </c>
    </row>
    <row r="671" spans="6:6">
      <c r="F671" s="1">
        <f t="shared" si="10"/>
        <v>0</v>
      </c>
    </row>
    <row r="672" spans="6:6">
      <c r="F672" s="1">
        <f t="shared" si="10"/>
        <v>0</v>
      </c>
    </row>
    <row r="673" spans="6:6">
      <c r="F673" s="1">
        <f t="shared" si="10"/>
        <v>0</v>
      </c>
    </row>
    <row r="674" spans="6:6">
      <c r="F674" s="1">
        <f t="shared" si="10"/>
        <v>0</v>
      </c>
    </row>
    <row r="675" spans="6:6">
      <c r="F675" s="1">
        <f t="shared" si="10"/>
        <v>0</v>
      </c>
    </row>
    <row r="676" spans="6:6">
      <c r="F676" s="1">
        <f t="shared" si="10"/>
        <v>0</v>
      </c>
    </row>
    <row r="677" spans="6:6">
      <c r="F677" s="1">
        <f t="shared" si="10"/>
        <v>0</v>
      </c>
    </row>
    <row r="678" spans="6:6">
      <c r="F678" s="1">
        <f t="shared" si="10"/>
        <v>0</v>
      </c>
    </row>
    <row r="679" spans="6:6">
      <c r="F679" s="1">
        <f t="shared" ref="F679:F729" si="11">+F678+G678+H678</f>
        <v>0</v>
      </c>
    </row>
    <row r="680" spans="6:6">
      <c r="F680" s="1">
        <f t="shared" si="11"/>
        <v>0</v>
      </c>
    </row>
    <row r="681" spans="6:6">
      <c r="F681" s="1">
        <f t="shared" si="11"/>
        <v>0</v>
      </c>
    </row>
    <row r="682" spans="6:6">
      <c r="F682" s="1">
        <f t="shared" si="11"/>
        <v>0</v>
      </c>
    </row>
    <row r="683" spans="6:6">
      <c r="F683" s="1">
        <f t="shared" si="11"/>
        <v>0</v>
      </c>
    </row>
    <row r="684" spans="6:6">
      <c r="F684" s="1">
        <f t="shared" si="11"/>
        <v>0</v>
      </c>
    </row>
    <row r="685" spans="6:6">
      <c r="F685" s="1">
        <f t="shared" si="11"/>
        <v>0</v>
      </c>
    </row>
    <row r="686" spans="6:6">
      <c r="F686" s="1">
        <f t="shared" si="11"/>
        <v>0</v>
      </c>
    </row>
    <row r="687" spans="6:6">
      <c r="F687" s="1">
        <f t="shared" si="11"/>
        <v>0</v>
      </c>
    </row>
    <row r="688" spans="6:6">
      <c r="F688" s="1">
        <f t="shared" si="11"/>
        <v>0</v>
      </c>
    </row>
    <row r="689" spans="6:6">
      <c r="F689" s="1">
        <f t="shared" si="11"/>
        <v>0</v>
      </c>
    </row>
    <row r="690" spans="6:6">
      <c r="F690" s="1">
        <f t="shared" si="11"/>
        <v>0</v>
      </c>
    </row>
    <row r="691" spans="6:6">
      <c r="F691" s="1">
        <f t="shared" si="11"/>
        <v>0</v>
      </c>
    </row>
    <row r="692" spans="6:6">
      <c r="F692" s="1">
        <f t="shared" si="11"/>
        <v>0</v>
      </c>
    </row>
    <row r="693" spans="6:6">
      <c r="F693" s="1">
        <f t="shared" si="11"/>
        <v>0</v>
      </c>
    </row>
    <row r="694" spans="6:6">
      <c r="F694" s="1">
        <f t="shared" si="11"/>
        <v>0</v>
      </c>
    </row>
    <row r="695" spans="6:6">
      <c r="F695" s="1">
        <f t="shared" si="11"/>
        <v>0</v>
      </c>
    </row>
    <row r="696" spans="6:6">
      <c r="F696" s="1">
        <f t="shared" si="11"/>
        <v>0</v>
      </c>
    </row>
    <row r="697" spans="6:6">
      <c r="F697" s="1">
        <f t="shared" si="11"/>
        <v>0</v>
      </c>
    </row>
    <row r="698" spans="6:6">
      <c r="F698" s="1">
        <f t="shared" si="11"/>
        <v>0</v>
      </c>
    </row>
    <row r="699" spans="6:6">
      <c r="F699" s="1">
        <f t="shared" si="11"/>
        <v>0</v>
      </c>
    </row>
    <row r="700" spans="6:6">
      <c r="F700" s="1">
        <f t="shared" si="11"/>
        <v>0</v>
      </c>
    </row>
    <row r="701" spans="6:6">
      <c r="F701" s="1">
        <f t="shared" si="11"/>
        <v>0</v>
      </c>
    </row>
    <row r="702" spans="6:6">
      <c r="F702" s="1">
        <f t="shared" si="11"/>
        <v>0</v>
      </c>
    </row>
    <row r="703" spans="6:6">
      <c r="F703" s="1">
        <f t="shared" si="11"/>
        <v>0</v>
      </c>
    </row>
    <row r="704" spans="6:6">
      <c r="F704" s="1">
        <f t="shared" si="11"/>
        <v>0</v>
      </c>
    </row>
    <row r="705" spans="6:6">
      <c r="F705" s="1">
        <f t="shared" si="11"/>
        <v>0</v>
      </c>
    </row>
    <row r="706" spans="6:6">
      <c r="F706" s="1">
        <f t="shared" si="11"/>
        <v>0</v>
      </c>
    </row>
    <row r="707" spans="6:6">
      <c r="F707" s="1">
        <f t="shared" si="11"/>
        <v>0</v>
      </c>
    </row>
    <row r="708" spans="6:6">
      <c r="F708" s="1">
        <f t="shared" si="11"/>
        <v>0</v>
      </c>
    </row>
    <row r="709" spans="6:6">
      <c r="F709" s="1">
        <f t="shared" si="11"/>
        <v>0</v>
      </c>
    </row>
    <row r="710" spans="6:6">
      <c r="F710" s="1">
        <f t="shared" si="11"/>
        <v>0</v>
      </c>
    </row>
    <row r="711" spans="6:6">
      <c r="F711" s="1">
        <f t="shared" si="11"/>
        <v>0</v>
      </c>
    </row>
    <row r="712" spans="6:6">
      <c r="F712" s="1">
        <f t="shared" si="11"/>
        <v>0</v>
      </c>
    </row>
    <row r="713" spans="6:6">
      <c r="F713" s="1">
        <f t="shared" si="11"/>
        <v>0</v>
      </c>
    </row>
    <row r="714" spans="6:6">
      <c r="F714" s="1">
        <f t="shared" si="11"/>
        <v>0</v>
      </c>
    </row>
    <row r="715" spans="6:6">
      <c r="F715" s="1">
        <f t="shared" si="11"/>
        <v>0</v>
      </c>
    </row>
    <row r="716" spans="6:6">
      <c r="F716" s="1">
        <f t="shared" si="11"/>
        <v>0</v>
      </c>
    </row>
    <row r="717" spans="6:6">
      <c r="F717" s="1">
        <f t="shared" si="11"/>
        <v>0</v>
      </c>
    </row>
    <row r="718" spans="6:6">
      <c r="F718" s="1">
        <f t="shared" si="11"/>
        <v>0</v>
      </c>
    </row>
    <row r="719" spans="6:6">
      <c r="F719" s="1">
        <f t="shared" si="11"/>
        <v>0</v>
      </c>
    </row>
    <row r="720" spans="6:6">
      <c r="F720" s="1">
        <f t="shared" si="11"/>
        <v>0</v>
      </c>
    </row>
    <row r="721" spans="6:6">
      <c r="F721" s="1">
        <f t="shared" si="11"/>
        <v>0</v>
      </c>
    </row>
    <row r="722" spans="6:6">
      <c r="F722" s="1">
        <f t="shared" si="11"/>
        <v>0</v>
      </c>
    </row>
    <row r="723" spans="6:6">
      <c r="F723" s="1">
        <f t="shared" si="11"/>
        <v>0</v>
      </c>
    </row>
    <row r="724" spans="6:6">
      <c r="F724" s="1">
        <f t="shared" si="11"/>
        <v>0</v>
      </c>
    </row>
    <row r="725" spans="6:6">
      <c r="F725" s="1">
        <f t="shared" si="11"/>
        <v>0</v>
      </c>
    </row>
    <row r="726" spans="6:6">
      <c r="F726" s="1">
        <f t="shared" si="11"/>
        <v>0</v>
      </c>
    </row>
    <row r="727" spans="6:6">
      <c r="F727" s="1">
        <f t="shared" si="11"/>
        <v>0</v>
      </c>
    </row>
    <row r="728" spans="6:6">
      <c r="F728" s="1">
        <f t="shared" si="11"/>
        <v>0</v>
      </c>
    </row>
    <row r="729" spans="6:6">
      <c r="F729" s="1">
        <f t="shared" si="11"/>
        <v>0</v>
      </c>
    </row>
  </sheetData>
  <phoneticPr fontId="1" type="noConversion"/>
  <conditionalFormatting sqref="C1:C1048576">
    <cfRule type="containsBlanks" dxfId="0" priority="1">
      <formula>LEN(TRIM(C1))=0</formula>
    </cfRule>
  </conditionalFormatting>
  <dataValidations count="2">
    <dataValidation type="decimal" operator="greaterThan" allowBlank="1" showInputMessage="1" showErrorMessage="1" sqref="G2:G1048576" xr:uid="{B93CC2DC-B85D-4A9C-96C1-5B8E36862DE2}">
      <formula1>0</formula1>
    </dataValidation>
    <dataValidation type="decimal" operator="lessThan" allowBlank="1" showInputMessage="1" showErrorMessage="1" sqref="H2:H1048576" xr:uid="{D2D4C543-2793-45C3-9DB8-33388037FCF9}">
      <formula1>0</formula1>
    </dataValidation>
  </dataValidations>
  <pageMargins left="0.7" right="0.7" top="0.75" bottom="0.75" header="0.3" footer="0.3"/>
  <pageSetup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0B9F8CF-DBAC-4F42-8D65-4AFA22F72F18}">
          <x14:formula1>
            <xm:f>CATEGORIAS!$B$2:$B$30</xm:f>
          </x14:formula1>
          <xm:sqref>E2:E3 E395:E1048576</xm:sqref>
        </x14:dataValidation>
        <x14:dataValidation type="list" allowBlank="1" showInputMessage="1" showErrorMessage="1" xr:uid="{F7915C0B-C24B-4B17-ACFA-FBDD30539FC7}">
          <x14:formula1>
            <xm:f>CATEGORIAS!$B$2:$B$340</xm:f>
          </x14:formula1>
          <xm:sqref>E4:E394</xm:sqref>
        </x14:dataValidation>
        <x14:dataValidation type="list" allowBlank="1" showInputMessage="1" showErrorMessage="1" xr:uid="{A1F16C7B-3110-4343-BAD4-CFED7211F3D3}">
          <x14:formula1>
            <xm:f>CATEGORIAS!$A$2:$A$13</xm:f>
          </x14:formula1>
          <xm:sqref>C2:C1048576</xm:sqref>
        </x14:dataValidation>
        <x14:dataValidation type="list" allowBlank="1" showInputMessage="1" showErrorMessage="1" xr:uid="{21498822-A9B9-496C-9B87-DCBB723D986C}">
          <x14:formula1>
            <xm:f>CATEGORIAS!$C$2:$C$15</xm:f>
          </x14:formula1>
          <xm:sqref>D2:D1048576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9E68-493F-491E-9566-7DA17BB5F7E5}">
  <dimension ref="A1:C22"/>
  <sheetViews>
    <sheetView workbookViewId="0">
      <selection activeCell="E13" sqref="E13"/>
    </sheetView>
  </sheetViews>
  <sheetFormatPr defaultColWidth="9.109375" defaultRowHeight="14.4"/>
  <cols>
    <col min="1" max="1" width="28.5546875" bestFit="1" customWidth="1"/>
    <col min="2" max="2" width="19" customWidth="1"/>
    <col min="3" max="3" width="29.44140625" customWidth="1"/>
  </cols>
  <sheetData>
    <row r="1" spans="1:3">
      <c r="A1" t="s">
        <v>1</v>
      </c>
      <c r="B1" t="s">
        <v>2</v>
      </c>
      <c r="C1" t="s">
        <v>162</v>
      </c>
    </row>
    <row r="2" spans="1:3">
      <c r="A2" t="s">
        <v>19</v>
      </c>
      <c r="B2" t="s">
        <v>28</v>
      </c>
      <c r="C2" t="s">
        <v>192</v>
      </c>
    </row>
    <row r="3" spans="1:3">
      <c r="A3" t="s">
        <v>16</v>
      </c>
      <c r="B3" t="s">
        <v>31</v>
      </c>
      <c r="C3" t="s">
        <v>608</v>
      </c>
    </row>
    <row r="4" spans="1:3">
      <c r="A4" t="s">
        <v>9</v>
      </c>
      <c r="B4" t="s">
        <v>30</v>
      </c>
      <c r="C4" t="s">
        <v>196</v>
      </c>
    </row>
    <row r="5" spans="1:3">
      <c r="A5" t="s">
        <v>14</v>
      </c>
      <c r="B5" t="s">
        <v>26</v>
      </c>
      <c r="C5" t="s">
        <v>193</v>
      </c>
    </row>
    <row r="6" spans="1:3">
      <c r="A6" t="s">
        <v>18</v>
      </c>
      <c r="B6" t="s">
        <v>25</v>
      </c>
      <c r="C6" t="s">
        <v>194</v>
      </c>
    </row>
    <row r="7" spans="1:3">
      <c r="A7" t="s">
        <v>11</v>
      </c>
      <c r="B7" t="s">
        <v>34</v>
      </c>
      <c r="C7" t="s">
        <v>195</v>
      </c>
    </row>
    <row r="8" spans="1:3">
      <c r="A8" t="s">
        <v>10</v>
      </c>
      <c r="B8" t="s">
        <v>24</v>
      </c>
      <c r="C8" t="s">
        <v>610</v>
      </c>
    </row>
    <row r="9" spans="1:3">
      <c r="A9" t="s">
        <v>15</v>
      </c>
      <c r="B9" t="s">
        <v>21</v>
      </c>
      <c r="C9" t="s">
        <v>197</v>
      </c>
    </row>
    <row r="10" spans="1:3">
      <c r="A10" t="s">
        <v>20</v>
      </c>
      <c r="B10" t="s">
        <v>27</v>
      </c>
      <c r="C10" t="s">
        <v>198</v>
      </c>
    </row>
    <row r="11" spans="1:3">
      <c r="A11" t="s">
        <v>17</v>
      </c>
      <c r="B11" t="s">
        <v>33</v>
      </c>
      <c r="C11" t="s">
        <v>199</v>
      </c>
    </row>
    <row r="12" spans="1:3">
      <c r="A12" t="s">
        <v>13</v>
      </c>
      <c r="B12" t="s">
        <v>29</v>
      </c>
      <c r="C12" t="s">
        <v>200</v>
      </c>
    </row>
    <row r="13" spans="1:3">
      <c r="A13" t="s">
        <v>12</v>
      </c>
      <c r="B13" t="s">
        <v>23</v>
      </c>
      <c r="C13" t="s">
        <v>424</v>
      </c>
    </row>
    <row r="14" spans="1:3">
      <c r="B14" t="s">
        <v>32</v>
      </c>
      <c r="C14" t="s">
        <v>556</v>
      </c>
    </row>
    <row r="15" spans="1:3">
      <c r="B15" t="s">
        <v>22</v>
      </c>
      <c r="C15" t="s">
        <v>609</v>
      </c>
    </row>
    <row r="16" spans="1:3">
      <c r="B16" t="s">
        <v>391</v>
      </c>
    </row>
    <row r="17" spans="2:2">
      <c r="B17" t="s">
        <v>461</v>
      </c>
    </row>
    <row r="18" spans="2:2">
      <c r="B18" t="s">
        <v>462</v>
      </c>
    </row>
    <row r="19" spans="2:2">
      <c r="B19" t="s">
        <v>463</v>
      </c>
    </row>
    <row r="20" spans="2:2">
      <c r="B20" t="s">
        <v>126</v>
      </c>
    </row>
    <row r="21" spans="2:2">
      <c r="B21" t="s">
        <v>509</v>
      </c>
    </row>
    <row r="22" spans="2:2">
      <c r="B22" t="s">
        <v>510</v>
      </c>
    </row>
  </sheetData>
  <sortState xmlns:xlrd2="http://schemas.microsoft.com/office/spreadsheetml/2017/richdata2" ref="B2:B15">
    <sortCondition ref="B2:B15"/>
  </sortState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6C4A8-22C4-46FF-8D35-2DB0D123AA66}">
  <dimension ref="A1:E286"/>
  <sheetViews>
    <sheetView topLeftCell="A254" workbookViewId="0">
      <selection activeCell="D266" sqref="D266"/>
    </sheetView>
  </sheetViews>
  <sheetFormatPr defaultColWidth="9.109375" defaultRowHeight="14.4"/>
  <cols>
    <col min="1" max="1" width="13.5546875" customWidth="1"/>
    <col min="2" max="2" width="33.44140625" customWidth="1"/>
    <col min="3" max="3" width="18.33203125" customWidth="1"/>
    <col min="4" max="4" width="14.33203125" bestFit="1" customWidth="1"/>
  </cols>
  <sheetData>
    <row r="1" spans="1:4">
      <c r="A1" s="4" t="s">
        <v>203</v>
      </c>
      <c r="B1" s="5"/>
      <c r="C1" s="5"/>
      <c r="D1" s="5"/>
    </row>
    <row r="2" spans="1:4">
      <c r="A2" s="4" t="s">
        <v>207</v>
      </c>
      <c r="B2" s="4" t="s">
        <v>208</v>
      </c>
      <c r="C2" s="4" t="s">
        <v>209</v>
      </c>
      <c r="D2" s="4" t="s">
        <v>210</v>
      </c>
    </row>
    <row r="3" spans="1:4">
      <c r="A3" s="5" t="s">
        <v>204</v>
      </c>
      <c r="B3" s="5" t="s">
        <v>205</v>
      </c>
      <c r="C3" s="5" t="s">
        <v>206</v>
      </c>
      <c r="D3" s="5">
        <v>4090</v>
      </c>
    </row>
    <row r="4" spans="1:4">
      <c r="A4" s="5" t="s">
        <v>204</v>
      </c>
      <c r="B4" s="5" t="s">
        <v>211</v>
      </c>
      <c r="C4" s="5" t="s">
        <v>206</v>
      </c>
      <c r="D4" s="5">
        <v>3500</v>
      </c>
    </row>
    <row r="5" spans="1:4">
      <c r="A5" s="5" t="s">
        <v>204</v>
      </c>
      <c r="B5" s="5" t="s">
        <v>211</v>
      </c>
      <c r="C5" s="5" t="s">
        <v>206</v>
      </c>
      <c r="D5" s="5">
        <v>3500</v>
      </c>
    </row>
    <row r="6" spans="1:4">
      <c r="A6" s="5" t="s">
        <v>204</v>
      </c>
      <c r="B6" s="5" t="s">
        <v>211</v>
      </c>
      <c r="C6" s="5" t="s">
        <v>206</v>
      </c>
      <c r="D6" s="5">
        <v>3500</v>
      </c>
    </row>
    <row r="7" spans="1:4">
      <c r="A7" s="5" t="s">
        <v>204</v>
      </c>
      <c r="B7" s="5" t="s">
        <v>212</v>
      </c>
      <c r="C7" s="5" t="s">
        <v>206</v>
      </c>
      <c r="D7" s="5">
        <v>7400</v>
      </c>
    </row>
    <row r="8" spans="1:4">
      <c r="A8" s="5" t="s">
        <v>204</v>
      </c>
      <c r="B8" s="5" t="s">
        <v>213</v>
      </c>
      <c r="C8" s="5" t="s">
        <v>214</v>
      </c>
      <c r="D8" s="5">
        <v>20000</v>
      </c>
    </row>
    <row r="9" spans="1:4">
      <c r="A9" s="5" t="s">
        <v>216</v>
      </c>
      <c r="B9" s="5" t="s">
        <v>215</v>
      </c>
      <c r="C9" s="5" t="s">
        <v>217</v>
      </c>
      <c r="D9" s="5">
        <v>6000</v>
      </c>
    </row>
    <row r="10" spans="1:4">
      <c r="A10" s="5" t="s">
        <v>204</v>
      </c>
      <c r="B10" s="5" t="s">
        <v>218</v>
      </c>
      <c r="C10" s="5" t="s">
        <v>214</v>
      </c>
      <c r="D10" s="5">
        <v>3000</v>
      </c>
    </row>
    <row r="11" spans="1:4">
      <c r="A11" s="5"/>
      <c r="B11" s="5"/>
      <c r="C11" s="5"/>
      <c r="D11" s="5"/>
    </row>
    <row r="12" spans="1:4">
      <c r="A12" s="4" t="s">
        <v>219</v>
      </c>
      <c r="B12" s="4"/>
      <c r="C12" s="4"/>
      <c r="D12" s="6">
        <f>+SUM(D3:D10)</f>
        <v>50990</v>
      </c>
    </row>
    <row r="16" spans="1:4">
      <c r="A16" s="4" t="s">
        <v>220</v>
      </c>
      <c r="B16" s="5"/>
      <c r="C16" s="5"/>
      <c r="D16" s="5"/>
    </row>
    <row r="17" spans="1:4">
      <c r="A17" s="4" t="s">
        <v>207</v>
      </c>
      <c r="B17" s="4" t="s">
        <v>208</v>
      </c>
      <c r="C17" s="4" t="s">
        <v>209</v>
      </c>
      <c r="D17" s="4" t="s">
        <v>210</v>
      </c>
    </row>
    <row r="18" spans="1:4">
      <c r="A18" s="5" t="s">
        <v>204</v>
      </c>
      <c r="B18" s="5" t="s">
        <v>221</v>
      </c>
      <c r="C18" s="5" t="s">
        <v>206</v>
      </c>
      <c r="D18" s="5">
        <v>3600</v>
      </c>
    </row>
    <row r="19" spans="1:4">
      <c r="A19" s="5" t="s">
        <v>204</v>
      </c>
      <c r="B19" s="5" t="s">
        <v>221</v>
      </c>
      <c r="C19" s="5" t="s">
        <v>206</v>
      </c>
      <c r="D19" s="5">
        <v>20580</v>
      </c>
    </row>
    <row r="20" spans="1:4">
      <c r="A20" s="5" t="s">
        <v>204</v>
      </c>
      <c r="B20" s="5" t="s">
        <v>221</v>
      </c>
      <c r="C20" s="5" t="s">
        <v>206</v>
      </c>
      <c r="D20" s="5">
        <v>7180</v>
      </c>
    </row>
    <row r="21" spans="1:4">
      <c r="A21" s="5" t="s">
        <v>204</v>
      </c>
      <c r="B21" s="5" t="s">
        <v>221</v>
      </c>
      <c r="C21" s="5" t="s">
        <v>206</v>
      </c>
      <c r="D21" s="5">
        <v>46750</v>
      </c>
    </row>
    <row r="22" spans="1:4">
      <c r="A22" s="5" t="s">
        <v>204</v>
      </c>
      <c r="B22" s="5" t="s">
        <v>222</v>
      </c>
      <c r="C22" s="5" t="s">
        <v>223</v>
      </c>
      <c r="D22" s="5">
        <v>133816</v>
      </c>
    </row>
    <row r="23" spans="1:4">
      <c r="A23" s="5" t="s">
        <v>204</v>
      </c>
      <c r="B23" s="5" t="s">
        <v>224</v>
      </c>
      <c r="C23" s="5" t="s">
        <v>223</v>
      </c>
      <c r="D23" s="5">
        <v>63308</v>
      </c>
    </row>
    <row r="24" spans="1:4">
      <c r="A24" s="5" t="s">
        <v>204</v>
      </c>
      <c r="B24" s="5" t="s">
        <v>225</v>
      </c>
      <c r="C24" s="5" t="s">
        <v>223</v>
      </c>
      <c r="D24" s="5">
        <v>149376</v>
      </c>
    </row>
    <row r="25" spans="1:4">
      <c r="A25" s="5" t="s">
        <v>204</v>
      </c>
      <c r="B25" s="5" t="s">
        <v>226</v>
      </c>
      <c r="C25" s="5" t="s">
        <v>223</v>
      </c>
      <c r="D25" s="5">
        <v>152656</v>
      </c>
    </row>
    <row r="26" spans="1:4">
      <c r="A26" s="5" t="s">
        <v>204</v>
      </c>
      <c r="B26" s="5" t="s">
        <v>228</v>
      </c>
      <c r="C26" s="5" t="s">
        <v>206</v>
      </c>
      <c r="D26" s="5">
        <v>12900</v>
      </c>
    </row>
    <row r="27" spans="1:4">
      <c r="A27" s="5"/>
      <c r="B27" s="5"/>
      <c r="C27" s="5"/>
      <c r="D27" s="5"/>
    </row>
    <row r="28" spans="1:4">
      <c r="A28" s="4" t="s">
        <v>227</v>
      </c>
      <c r="B28" s="4"/>
      <c r="C28" s="4"/>
      <c r="D28" s="6">
        <f>+SUM(D18:D26)</f>
        <v>590166</v>
      </c>
    </row>
    <row r="32" spans="1:4">
      <c r="A32" s="4" t="s">
        <v>323</v>
      </c>
      <c r="B32" s="5"/>
      <c r="C32" s="5"/>
      <c r="D32" s="5"/>
    </row>
    <row r="33" spans="1:4">
      <c r="A33" s="4" t="s">
        <v>207</v>
      </c>
      <c r="B33" s="4" t="s">
        <v>208</v>
      </c>
      <c r="C33" s="4" t="s">
        <v>209</v>
      </c>
      <c r="D33" s="4" t="s">
        <v>210</v>
      </c>
    </row>
    <row r="34" spans="1:4">
      <c r="A34" s="5" t="s">
        <v>231</v>
      </c>
      <c r="B34" s="5" t="s">
        <v>230</v>
      </c>
      <c r="C34" s="5" t="s">
        <v>223</v>
      </c>
      <c r="D34" s="5">
        <v>83149</v>
      </c>
    </row>
    <row r="35" spans="1:4">
      <c r="A35" s="5" t="s">
        <v>229</v>
      </c>
      <c r="B35" s="5" t="s">
        <v>222</v>
      </c>
      <c r="C35" s="5" t="s">
        <v>223</v>
      </c>
      <c r="D35" s="5">
        <v>141347</v>
      </c>
    </row>
    <row r="36" spans="1:4">
      <c r="A36" s="5" t="s">
        <v>229</v>
      </c>
      <c r="B36" s="5" t="s">
        <v>232</v>
      </c>
      <c r="C36" s="5" t="s">
        <v>233</v>
      </c>
      <c r="D36" s="5">
        <v>30000</v>
      </c>
    </row>
    <row r="37" spans="1:4">
      <c r="A37" s="5" t="s">
        <v>229</v>
      </c>
      <c r="B37" s="5" t="s">
        <v>221</v>
      </c>
      <c r="C37" s="5" t="s">
        <v>206</v>
      </c>
      <c r="D37" s="5">
        <v>9490</v>
      </c>
    </row>
    <row r="38" spans="1:4">
      <c r="A38" s="5" t="s">
        <v>229</v>
      </c>
      <c r="B38" s="5" t="s">
        <v>221</v>
      </c>
      <c r="C38" s="5" t="s">
        <v>206</v>
      </c>
      <c r="D38" s="5">
        <v>5100</v>
      </c>
    </row>
    <row r="39" spans="1:4">
      <c r="A39" s="5" t="s">
        <v>234</v>
      </c>
      <c r="B39" s="5" t="s">
        <v>221</v>
      </c>
      <c r="C39" s="5" t="s">
        <v>206</v>
      </c>
      <c r="D39" s="5">
        <v>25190</v>
      </c>
    </row>
    <row r="40" spans="1:4">
      <c r="A40" s="5" t="s">
        <v>235</v>
      </c>
      <c r="B40" s="5" t="s">
        <v>221</v>
      </c>
      <c r="C40" s="5" t="s">
        <v>206</v>
      </c>
      <c r="D40" s="5">
        <v>7550</v>
      </c>
    </row>
    <row r="41" spans="1:4">
      <c r="A41" s="5" t="s">
        <v>229</v>
      </c>
      <c r="B41" s="5" t="s">
        <v>224</v>
      </c>
      <c r="C41" s="5" t="s">
        <v>206</v>
      </c>
      <c r="D41" s="5">
        <v>32012</v>
      </c>
    </row>
    <row r="42" spans="1:4">
      <c r="A42" s="5" t="s">
        <v>234</v>
      </c>
      <c r="B42" s="5" t="s">
        <v>211</v>
      </c>
      <c r="C42" s="5" t="s">
        <v>206</v>
      </c>
      <c r="D42" s="5">
        <v>3500</v>
      </c>
    </row>
    <row r="43" spans="1:4">
      <c r="A43" s="5" t="s">
        <v>235</v>
      </c>
      <c r="B43" s="5" t="s">
        <v>211</v>
      </c>
      <c r="C43" s="5" t="s">
        <v>206</v>
      </c>
      <c r="D43" s="5">
        <v>3500</v>
      </c>
    </row>
    <row r="44" spans="1:4">
      <c r="A44" s="5" t="s">
        <v>236</v>
      </c>
      <c r="B44" s="5" t="s">
        <v>211</v>
      </c>
      <c r="C44" s="5" t="s">
        <v>206</v>
      </c>
      <c r="D44" s="5">
        <v>3500</v>
      </c>
    </row>
    <row r="45" spans="1:4">
      <c r="A45" s="5" t="s">
        <v>234</v>
      </c>
      <c r="B45" s="5" t="s">
        <v>237</v>
      </c>
      <c r="C45" s="5" t="s">
        <v>214</v>
      </c>
      <c r="D45" s="5">
        <v>1000</v>
      </c>
    </row>
    <row r="46" spans="1:4">
      <c r="A46" s="5" t="s">
        <v>229</v>
      </c>
      <c r="B46" s="5" t="s">
        <v>238</v>
      </c>
      <c r="C46" s="5" t="s">
        <v>223</v>
      </c>
      <c r="D46" s="5">
        <v>123688</v>
      </c>
    </row>
    <row r="47" spans="1:4">
      <c r="A47" s="5" t="s">
        <v>229</v>
      </c>
      <c r="B47" s="5" t="s">
        <v>232</v>
      </c>
      <c r="C47" s="5" t="s">
        <v>214</v>
      </c>
      <c r="D47" s="5">
        <v>30000</v>
      </c>
    </row>
    <row r="48" spans="1:4">
      <c r="A48" s="5"/>
      <c r="B48" s="5"/>
      <c r="C48" s="5"/>
      <c r="D48" s="5"/>
    </row>
    <row r="49" spans="1:4">
      <c r="A49" s="4" t="s">
        <v>324</v>
      </c>
      <c r="B49" s="4"/>
      <c r="C49" s="4"/>
      <c r="D49" s="6">
        <f>+SUM(D34:D47)</f>
        <v>499026</v>
      </c>
    </row>
    <row r="53" spans="1:4">
      <c r="A53" s="4" t="s">
        <v>325</v>
      </c>
      <c r="B53" s="5"/>
      <c r="C53" s="5"/>
      <c r="D53" s="5"/>
    </row>
    <row r="54" spans="1:4">
      <c r="A54" s="4" t="s">
        <v>207</v>
      </c>
      <c r="B54" s="4" t="s">
        <v>208</v>
      </c>
      <c r="C54" s="4" t="s">
        <v>209</v>
      </c>
      <c r="D54" s="4" t="s">
        <v>210</v>
      </c>
    </row>
    <row r="55" spans="1:4">
      <c r="A55" s="5" t="s">
        <v>326</v>
      </c>
      <c r="B55" s="5" t="s">
        <v>327</v>
      </c>
      <c r="C55" s="5" t="s">
        <v>223</v>
      </c>
      <c r="D55" s="5">
        <v>231476</v>
      </c>
    </row>
    <row r="56" spans="1:4">
      <c r="A56" s="5" t="s">
        <v>326</v>
      </c>
      <c r="B56" s="5" t="s">
        <v>328</v>
      </c>
      <c r="C56" s="5" t="s">
        <v>223</v>
      </c>
      <c r="D56" s="5">
        <v>250476</v>
      </c>
    </row>
    <row r="57" spans="1:4">
      <c r="A57" s="5" t="s">
        <v>329</v>
      </c>
      <c r="B57" s="5" t="s">
        <v>330</v>
      </c>
      <c r="C57" s="5" t="s">
        <v>223</v>
      </c>
      <c r="D57" s="5">
        <v>224930</v>
      </c>
    </row>
    <row r="58" spans="1:4">
      <c r="A58" s="5" t="s">
        <v>334</v>
      </c>
      <c r="B58" s="5" t="s">
        <v>224</v>
      </c>
      <c r="C58" s="5" t="s">
        <v>206</v>
      </c>
      <c r="D58" s="5">
        <v>62282</v>
      </c>
    </row>
    <row r="59" spans="1:4">
      <c r="A59" s="5" t="s">
        <v>329</v>
      </c>
      <c r="B59" s="5" t="s">
        <v>228</v>
      </c>
      <c r="C59" s="5" t="s">
        <v>206</v>
      </c>
      <c r="D59" s="5">
        <v>34300</v>
      </c>
    </row>
    <row r="60" spans="1:4">
      <c r="A60" s="5" t="s">
        <v>329</v>
      </c>
      <c r="B60" s="5" t="s">
        <v>221</v>
      </c>
      <c r="C60" s="5" t="s">
        <v>206</v>
      </c>
      <c r="D60" s="5">
        <v>9900</v>
      </c>
    </row>
    <row r="61" spans="1:4">
      <c r="A61" s="5" t="s">
        <v>329</v>
      </c>
      <c r="B61" s="5" t="s">
        <v>221</v>
      </c>
      <c r="C61" s="5" t="s">
        <v>206</v>
      </c>
      <c r="D61" s="5">
        <v>12600</v>
      </c>
    </row>
    <row r="62" spans="1:4">
      <c r="A62" s="5" t="s">
        <v>334</v>
      </c>
      <c r="B62" s="5" t="s">
        <v>221</v>
      </c>
      <c r="C62" s="5" t="s">
        <v>206</v>
      </c>
      <c r="D62" s="5">
        <v>103500</v>
      </c>
    </row>
    <row r="63" spans="1:4">
      <c r="A63" s="5" t="s">
        <v>329</v>
      </c>
      <c r="B63" s="5" t="s">
        <v>221</v>
      </c>
      <c r="C63" s="5" t="s">
        <v>206</v>
      </c>
      <c r="D63" s="5">
        <v>11480</v>
      </c>
    </row>
    <row r="64" spans="1:4">
      <c r="A64" s="5" t="s">
        <v>329</v>
      </c>
      <c r="B64" s="5" t="s">
        <v>221</v>
      </c>
      <c r="C64" s="5" t="s">
        <v>206</v>
      </c>
      <c r="D64" s="5">
        <v>4890</v>
      </c>
    </row>
    <row r="65" spans="1:4">
      <c r="A65" s="5" t="s">
        <v>329</v>
      </c>
      <c r="B65" s="5" t="s">
        <v>221</v>
      </c>
      <c r="C65" s="5" t="s">
        <v>206</v>
      </c>
      <c r="D65" s="5">
        <v>90519</v>
      </c>
    </row>
    <row r="66" spans="1:4">
      <c r="A66" s="5" t="s">
        <v>329</v>
      </c>
      <c r="B66" s="5" t="s">
        <v>221</v>
      </c>
      <c r="C66" s="5" t="s">
        <v>206</v>
      </c>
      <c r="D66" s="5">
        <v>20380</v>
      </c>
    </row>
    <row r="67" spans="1:4">
      <c r="A67" s="5" t="s">
        <v>329</v>
      </c>
      <c r="B67" s="5" t="s">
        <v>331</v>
      </c>
      <c r="C67" s="5" t="s">
        <v>223</v>
      </c>
      <c r="D67" s="5">
        <v>232695</v>
      </c>
    </row>
    <row r="68" spans="1:4">
      <c r="A68" s="5" t="s">
        <v>335</v>
      </c>
      <c r="B68" s="5" t="s">
        <v>211</v>
      </c>
      <c r="C68" s="5" t="s">
        <v>206</v>
      </c>
      <c r="D68" s="5">
        <v>900</v>
      </c>
    </row>
    <row r="69" spans="1:4">
      <c r="A69" s="5" t="s">
        <v>334</v>
      </c>
      <c r="B69" s="5" t="s">
        <v>211</v>
      </c>
      <c r="C69" s="5" t="s">
        <v>206</v>
      </c>
      <c r="D69" s="5">
        <v>3500</v>
      </c>
    </row>
    <row r="70" spans="1:4">
      <c r="A70" s="5" t="s">
        <v>335</v>
      </c>
      <c r="B70" s="5" t="s">
        <v>211</v>
      </c>
      <c r="C70" s="5" t="s">
        <v>206</v>
      </c>
      <c r="D70" s="5">
        <v>900</v>
      </c>
    </row>
    <row r="71" spans="1:4">
      <c r="A71" s="5" t="s">
        <v>334</v>
      </c>
      <c r="B71" s="5" t="s">
        <v>211</v>
      </c>
      <c r="C71" s="5" t="s">
        <v>206</v>
      </c>
      <c r="D71" s="5">
        <v>3500</v>
      </c>
    </row>
    <row r="72" spans="1:4">
      <c r="A72" s="5" t="s">
        <v>334</v>
      </c>
      <c r="B72" s="5" t="s">
        <v>211</v>
      </c>
      <c r="C72" s="5" t="s">
        <v>206</v>
      </c>
      <c r="D72" s="5">
        <v>3500</v>
      </c>
    </row>
    <row r="73" spans="1:4">
      <c r="A73" s="5" t="s">
        <v>329</v>
      </c>
      <c r="B73" s="5" t="s">
        <v>211</v>
      </c>
      <c r="C73" s="5" t="s">
        <v>206</v>
      </c>
      <c r="D73" s="5">
        <v>900</v>
      </c>
    </row>
    <row r="74" spans="1:4">
      <c r="A74" s="5" t="s">
        <v>329</v>
      </c>
      <c r="B74" s="5" t="s">
        <v>211</v>
      </c>
      <c r="C74" s="5" t="s">
        <v>206</v>
      </c>
      <c r="D74" s="5">
        <v>900</v>
      </c>
    </row>
    <row r="75" spans="1:4">
      <c r="A75" s="5" t="s">
        <v>329</v>
      </c>
      <c r="B75" s="5" t="s">
        <v>221</v>
      </c>
      <c r="C75" s="5" t="s">
        <v>206</v>
      </c>
      <c r="D75" s="5">
        <v>2580</v>
      </c>
    </row>
    <row r="76" spans="1:4">
      <c r="A76" s="5" t="s">
        <v>329</v>
      </c>
      <c r="B76" s="5" t="s">
        <v>332</v>
      </c>
      <c r="C76" s="5" t="s">
        <v>206</v>
      </c>
      <c r="D76" s="5">
        <v>1431</v>
      </c>
    </row>
    <row r="77" spans="1:4">
      <c r="A77" s="5" t="s">
        <v>329</v>
      </c>
      <c r="B77" s="5" t="s">
        <v>333</v>
      </c>
      <c r="C77" s="5" t="s">
        <v>214</v>
      </c>
      <c r="D77" s="5">
        <v>5000</v>
      </c>
    </row>
    <row r="78" spans="1:4">
      <c r="A78" s="5" t="s">
        <v>329</v>
      </c>
      <c r="B78" s="5" t="s">
        <v>337</v>
      </c>
      <c r="C78" s="5" t="s">
        <v>214</v>
      </c>
      <c r="D78" s="5">
        <v>22000</v>
      </c>
    </row>
    <row r="79" spans="1:4">
      <c r="A79" s="4" t="s">
        <v>336</v>
      </c>
      <c r="B79" s="4"/>
      <c r="C79" s="4"/>
      <c r="D79" s="6">
        <f>+SUM(D55:D78)</f>
        <v>1334539</v>
      </c>
    </row>
    <row r="82" spans="1:4">
      <c r="A82" s="4" t="s">
        <v>338</v>
      </c>
      <c r="B82" s="5"/>
      <c r="C82" s="5"/>
      <c r="D82" s="5"/>
    </row>
    <row r="83" spans="1:4">
      <c r="A83" s="4" t="s">
        <v>207</v>
      </c>
      <c r="B83" s="4" t="s">
        <v>208</v>
      </c>
      <c r="C83" s="4" t="s">
        <v>209</v>
      </c>
      <c r="D83" s="4" t="s">
        <v>210</v>
      </c>
    </row>
    <row r="84" spans="1:4">
      <c r="A84" s="5" t="s">
        <v>339</v>
      </c>
      <c r="B84" s="5" t="s">
        <v>211</v>
      </c>
      <c r="C84" s="5" t="s">
        <v>206</v>
      </c>
      <c r="D84" s="5">
        <v>3500</v>
      </c>
    </row>
    <row r="85" spans="1:4">
      <c r="A85" s="5" t="s">
        <v>339</v>
      </c>
      <c r="B85" s="5" t="s">
        <v>211</v>
      </c>
      <c r="C85" s="5" t="s">
        <v>206</v>
      </c>
      <c r="D85" s="5">
        <v>3500</v>
      </c>
    </row>
    <row r="86" spans="1:4">
      <c r="A86" s="5" t="s">
        <v>339</v>
      </c>
      <c r="B86" s="5" t="s">
        <v>224</v>
      </c>
      <c r="C86" s="5" t="s">
        <v>206</v>
      </c>
      <c r="D86" s="5">
        <v>30000</v>
      </c>
    </row>
    <row r="87" spans="1:4">
      <c r="A87" s="4" t="s">
        <v>340</v>
      </c>
      <c r="B87" s="4"/>
      <c r="C87" s="4"/>
      <c r="D87" s="6">
        <f>+SUM(D84:D86)</f>
        <v>37000</v>
      </c>
    </row>
    <row r="90" spans="1:4">
      <c r="A90" s="4" t="s">
        <v>352</v>
      </c>
      <c r="B90" s="5"/>
      <c r="C90" s="5"/>
      <c r="D90" s="5"/>
    </row>
    <row r="91" spans="1:4">
      <c r="A91" s="4" t="s">
        <v>207</v>
      </c>
      <c r="B91" s="4" t="s">
        <v>208</v>
      </c>
      <c r="C91" s="4" t="s">
        <v>209</v>
      </c>
      <c r="D91" s="4" t="s">
        <v>210</v>
      </c>
    </row>
    <row r="92" spans="1:4">
      <c r="A92" s="5" t="s">
        <v>353</v>
      </c>
      <c r="B92" s="5" t="s">
        <v>354</v>
      </c>
      <c r="C92" s="5" t="s">
        <v>223</v>
      </c>
      <c r="D92" s="5">
        <v>376752</v>
      </c>
    </row>
    <row r="93" spans="1:4">
      <c r="A93" s="5" t="s">
        <v>355</v>
      </c>
      <c r="B93" s="5" t="s">
        <v>331</v>
      </c>
      <c r="C93" s="5" t="s">
        <v>223</v>
      </c>
      <c r="D93" s="5">
        <v>321499</v>
      </c>
    </row>
    <row r="94" spans="1:4">
      <c r="A94" s="5" t="s">
        <v>355</v>
      </c>
      <c r="B94" s="5" t="s">
        <v>221</v>
      </c>
      <c r="C94" s="5" t="s">
        <v>206</v>
      </c>
      <c r="D94" s="5">
        <v>79110</v>
      </c>
    </row>
    <row r="95" spans="1:4">
      <c r="A95" s="5" t="s">
        <v>356</v>
      </c>
      <c r="B95" s="5" t="s">
        <v>221</v>
      </c>
      <c r="C95" s="5" t="s">
        <v>206</v>
      </c>
      <c r="D95" s="5">
        <v>69520</v>
      </c>
    </row>
    <row r="96" spans="1:4">
      <c r="A96" s="5" t="s">
        <v>356</v>
      </c>
      <c r="B96" s="5" t="s">
        <v>221</v>
      </c>
      <c r="C96" s="5" t="s">
        <v>206</v>
      </c>
      <c r="D96" s="5">
        <v>11460</v>
      </c>
    </row>
    <row r="97" spans="1:4">
      <c r="A97" s="5" t="s">
        <v>356</v>
      </c>
      <c r="B97" s="5" t="s">
        <v>224</v>
      </c>
      <c r="C97" s="5" t="s">
        <v>206</v>
      </c>
      <c r="D97" s="5">
        <v>54081</v>
      </c>
    </row>
    <row r="98" spans="1:4">
      <c r="A98" s="5" t="s">
        <v>356</v>
      </c>
      <c r="B98" s="5" t="s">
        <v>221</v>
      </c>
      <c r="C98" s="5" t="s">
        <v>206</v>
      </c>
      <c r="D98" s="5">
        <v>4180</v>
      </c>
    </row>
    <row r="99" spans="1:4">
      <c r="A99" s="5" t="s">
        <v>356</v>
      </c>
      <c r="B99" s="5" t="s">
        <v>221</v>
      </c>
      <c r="C99" s="5" t="s">
        <v>206</v>
      </c>
      <c r="D99" s="5">
        <v>5830</v>
      </c>
    </row>
    <row r="100" spans="1:4">
      <c r="A100" s="5" t="s">
        <v>357</v>
      </c>
      <c r="B100" s="5" t="s">
        <v>228</v>
      </c>
      <c r="C100" s="5" t="s">
        <v>206</v>
      </c>
      <c r="D100" s="5">
        <v>30100</v>
      </c>
    </row>
    <row r="101" spans="1:4">
      <c r="A101" s="5" t="s">
        <v>357</v>
      </c>
      <c r="B101" s="5" t="s">
        <v>228</v>
      </c>
      <c r="C101" s="5" t="s">
        <v>206</v>
      </c>
      <c r="D101" s="5">
        <v>4000</v>
      </c>
    </row>
    <row r="102" spans="1:4">
      <c r="A102" s="5" t="s">
        <v>357</v>
      </c>
      <c r="B102" s="5" t="s">
        <v>358</v>
      </c>
      <c r="C102" s="5" t="s">
        <v>206</v>
      </c>
      <c r="D102" s="5">
        <v>36575</v>
      </c>
    </row>
    <row r="103" spans="1:4">
      <c r="A103" s="5" t="s">
        <v>359</v>
      </c>
      <c r="B103" s="5" t="s">
        <v>332</v>
      </c>
      <c r="C103" s="5" t="s">
        <v>206</v>
      </c>
      <c r="D103" s="5">
        <v>10280</v>
      </c>
    </row>
    <row r="104" spans="1:4">
      <c r="A104" s="5" t="s">
        <v>356</v>
      </c>
      <c r="B104" s="5" t="s">
        <v>211</v>
      </c>
      <c r="C104" s="5" t="s">
        <v>206</v>
      </c>
      <c r="D104" s="5">
        <v>3500</v>
      </c>
    </row>
    <row r="105" spans="1:4">
      <c r="A105" s="5" t="s">
        <v>356</v>
      </c>
      <c r="B105" s="5" t="s">
        <v>211</v>
      </c>
      <c r="C105" s="5" t="s">
        <v>206</v>
      </c>
      <c r="D105" s="5">
        <v>3500</v>
      </c>
    </row>
    <row r="106" spans="1:4">
      <c r="A106" s="5" t="s">
        <v>356</v>
      </c>
      <c r="B106" s="5" t="s">
        <v>211</v>
      </c>
      <c r="C106" s="5" t="s">
        <v>206</v>
      </c>
      <c r="D106" s="5">
        <v>3500</v>
      </c>
    </row>
    <row r="107" spans="1:4">
      <c r="A107" s="5" t="s">
        <v>356</v>
      </c>
      <c r="B107" s="5" t="s">
        <v>211</v>
      </c>
      <c r="C107" s="5" t="s">
        <v>206</v>
      </c>
      <c r="D107" s="5">
        <v>900</v>
      </c>
    </row>
    <row r="108" spans="1:4">
      <c r="A108" s="5" t="s">
        <v>359</v>
      </c>
      <c r="B108" s="5" t="s">
        <v>332</v>
      </c>
      <c r="C108" s="5" t="s">
        <v>206</v>
      </c>
      <c r="D108" s="5">
        <v>3431</v>
      </c>
    </row>
    <row r="109" spans="1:4">
      <c r="A109" s="5" t="s">
        <v>356</v>
      </c>
      <c r="B109" s="5" t="s">
        <v>337</v>
      </c>
      <c r="C109" s="5" t="s">
        <v>214</v>
      </c>
      <c r="D109" s="5">
        <v>20000</v>
      </c>
    </row>
    <row r="110" spans="1:4">
      <c r="A110" s="4" t="s">
        <v>360</v>
      </c>
      <c r="B110" s="4"/>
      <c r="C110" s="4"/>
      <c r="D110" s="6">
        <f>+SUM(D92:D109)</f>
        <v>1038218</v>
      </c>
    </row>
    <row r="112" spans="1:4">
      <c r="A112" s="4" t="s">
        <v>425</v>
      </c>
      <c r="B112" s="5"/>
      <c r="C112" s="5"/>
      <c r="D112" s="5"/>
    </row>
    <row r="113" spans="1:5">
      <c r="A113" s="4" t="s">
        <v>207</v>
      </c>
      <c r="B113" s="4" t="s">
        <v>208</v>
      </c>
      <c r="C113" s="4" t="s">
        <v>209</v>
      </c>
      <c r="D113" s="4" t="s">
        <v>210</v>
      </c>
    </row>
    <row r="114" spans="1:5">
      <c r="A114" s="5" t="s">
        <v>426</v>
      </c>
      <c r="B114" s="5" t="s">
        <v>427</v>
      </c>
      <c r="C114" s="5" t="s">
        <v>223</v>
      </c>
      <c r="D114" s="5">
        <v>75546</v>
      </c>
    </row>
    <row r="115" spans="1:5">
      <c r="A115" s="5" t="s">
        <v>426</v>
      </c>
      <c r="B115" s="5" t="s">
        <v>428</v>
      </c>
      <c r="C115" s="5" t="s">
        <v>223</v>
      </c>
      <c r="D115" s="5">
        <v>176802</v>
      </c>
    </row>
    <row r="116" spans="1:5">
      <c r="A116" s="5" t="s">
        <v>426</v>
      </c>
      <c r="B116" s="5" t="s">
        <v>429</v>
      </c>
      <c r="C116" s="5" t="s">
        <v>223</v>
      </c>
      <c r="D116" s="5">
        <v>63465</v>
      </c>
    </row>
    <row r="117" spans="1:5">
      <c r="A117" s="5" t="s">
        <v>357</v>
      </c>
      <c r="B117" s="5" t="s">
        <v>430</v>
      </c>
      <c r="C117" s="5" t="s">
        <v>223</v>
      </c>
      <c r="D117" s="5">
        <v>140715</v>
      </c>
      <c r="E117" s="7" t="s">
        <v>435</v>
      </c>
    </row>
    <row r="118" spans="1:5">
      <c r="A118" s="5" t="s">
        <v>431</v>
      </c>
      <c r="B118" s="5" t="s">
        <v>432</v>
      </c>
      <c r="C118" s="5" t="s">
        <v>206</v>
      </c>
      <c r="D118" s="5">
        <v>5995</v>
      </c>
    </row>
    <row r="119" spans="1:5">
      <c r="A119" s="5" t="s">
        <v>431</v>
      </c>
      <c r="B119" s="5" t="s">
        <v>433</v>
      </c>
      <c r="C119" s="5" t="s">
        <v>206</v>
      </c>
      <c r="D119" s="5">
        <v>22883</v>
      </c>
    </row>
    <row r="120" spans="1:5">
      <c r="A120" s="5" t="s">
        <v>431</v>
      </c>
      <c r="B120" s="5" t="s">
        <v>221</v>
      </c>
      <c r="C120" s="5" t="s">
        <v>206</v>
      </c>
      <c r="D120" s="5">
        <v>14600</v>
      </c>
    </row>
    <row r="121" spans="1:5">
      <c r="A121" s="5" t="s">
        <v>434</v>
      </c>
      <c r="B121" s="5" t="s">
        <v>224</v>
      </c>
      <c r="C121" s="5" t="s">
        <v>206</v>
      </c>
      <c r="D121" s="5">
        <v>16340</v>
      </c>
    </row>
    <row r="122" spans="1:5">
      <c r="A122" s="5" t="s">
        <v>434</v>
      </c>
      <c r="B122" s="5" t="s">
        <v>221</v>
      </c>
      <c r="C122" s="5" t="s">
        <v>206</v>
      </c>
      <c r="D122" s="5">
        <v>11330</v>
      </c>
    </row>
    <row r="123" spans="1:5">
      <c r="A123" s="5" t="s">
        <v>434</v>
      </c>
      <c r="B123" s="5" t="s">
        <v>228</v>
      </c>
      <c r="C123" s="5" t="s">
        <v>206</v>
      </c>
      <c r="D123" s="5">
        <v>2660</v>
      </c>
    </row>
    <row r="124" spans="1:5">
      <c r="A124" s="5" t="s">
        <v>434</v>
      </c>
      <c r="B124" s="5" t="s">
        <v>211</v>
      </c>
      <c r="C124" s="5" t="s">
        <v>206</v>
      </c>
      <c r="D124" s="5">
        <v>3500</v>
      </c>
    </row>
    <row r="125" spans="1:5">
      <c r="A125" s="5" t="s">
        <v>434</v>
      </c>
      <c r="B125" s="5" t="s">
        <v>211</v>
      </c>
      <c r="C125" s="5" t="s">
        <v>206</v>
      </c>
      <c r="D125" s="5">
        <v>3500</v>
      </c>
    </row>
    <row r="126" spans="1:5">
      <c r="A126" s="5" t="s">
        <v>434</v>
      </c>
      <c r="B126" s="5" t="s">
        <v>211</v>
      </c>
      <c r="C126" s="5" t="s">
        <v>206</v>
      </c>
      <c r="D126" s="5">
        <v>900</v>
      </c>
    </row>
    <row r="127" spans="1:5">
      <c r="A127" s="5" t="s">
        <v>434</v>
      </c>
      <c r="B127" s="5" t="s">
        <v>211</v>
      </c>
      <c r="C127" s="5" t="s">
        <v>206</v>
      </c>
      <c r="D127" s="5">
        <v>900</v>
      </c>
    </row>
    <row r="128" spans="1:5">
      <c r="A128" s="5" t="s">
        <v>434</v>
      </c>
      <c r="B128" s="5" t="s">
        <v>432</v>
      </c>
      <c r="C128" s="5" t="s">
        <v>206</v>
      </c>
      <c r="D128" s="5">
        <v>31100</v>
      </c>
    </row>
    <row r="129" spans="1:4">
      <c r="A129" s="4" t="s">
        <v>436</v>
      </c>
      <c r="B129" s="4"/>
      <c r="C129" s="4"/>
      <c r="D129" s="6">
        <f>+SUM(D114:D128)</f>
        <v>570236</v>
      </c>
    </row>
    <row r="131" spans="1:4">
      <c r="A131" s="4" t="s">
        <v>442</v>
      </c>
      <c r="B131" s="5"/>
      <c r="C131" s="5"/>
      <c r="D131" s="5"/>
    </row>
    <row r="132" spans="1:4">
      <c r="A132" s="4" t="s">
        <v>207</v>
      </c>
      <c r="B132" s="4" t="s">
        <v>208</v>
      </c>
      <c r="C132" s="4" t="s">
        <v>209</v>
      </c>
      <c r="D132" s="4" t="s">
        <v>210</v>
      </c>
    </row>
    <row r="133" spans="1:4">
      <c r="A133" s="5" t="s">
        <v>444</v>
      </c>
      <c r="B133" s="5" t="s">
        <v>331</v>
      </c>
      <c r="C133" s="5" t="s">
        <v>223</v>
      </c>
      <c r="D133" s="5">
        <v>431703</v>
      </c>
    </row>
    <row r="134" spans="1:4">
      <c r="A134" s="5" t="s">
        <v>444</v>
      </c>
      <c r="B134" s="5" t="s">
        <v>211</v>
      </c>
      <c r="C134" s="5" t="s">
        <v>206</v>
      </c>
      <c r="D134" s="5">
        <v>900</v>
      </c>
    </row>
    <row r="135" spans="1:4">
      <c r="A135" s="5" t="s">
        <v>444</v>
      </c>
      <c r="B135" s="5" t="s">
        <v>211</v>
      </c>
      <c r="C135" s="5" t="s">
        <v>206</v>
      </c>
      <c r="D135" s="5">
        <v>900</v>
      </c>
    </row>
    <row r="136" spans="1:4">
      <c r="A136" s="5" t="s">
        <v>445</v>
      </c>
      <c r="B136" s="5" t="s">
        <v>211</v>
      </c>
      <c r="C136" s="5" t="s">
        <v>206</v>
      </c>
      <c r="D136" s="5">
        <v>3500</v>
      </c>
    </row>
    <row r="137" spans="1:4">
      <c r="A137" s="5" t="s">
        <v>445</v>
      </c>
      <c r="B137" s="5" t="s">
        <v>211</v>
      </c>
      <c r="C137" s="5" t="s">
        <v>206</v>
      </c>
      <c r="D137" s="5">
        <v>3500</v>
      </c>
    </row>
    <row r="138" spans="1:4">
      <c r="A138" s="5" t="s">
        <v>445</v>
      </c>
      <c r="B138" s="5" t="s">
        <v>211</v>
      </c>
      <c r="C138" s="5" t="s">
        <v>206</v>
      </c>
      <c r="D138" s="5">
        <v>3500</v>
      </c>
    </row>
    <row r="139" spans="1:4">
      <c r="A139" s="5" t="s">
        <v>445</v>
      </c>
      <c r="B139" s="5" t="s">
        <v>211</v>
      </c>
      <c r="C139" s="5" t="s">
        <v>206</v>
      </c>
      <c r="D139" s="5">
        <v>3500</v>
      </c>
    </row>
    <row r="140" spans="1:4">
      <c r="A140" s="5" t="s">
        <v>447</v>
      </c>
      <c r="B140" s="5" t="s">
        <v>211</v>
      </c>
      <c r="C140" s="5" t="s">
        <v>206</v>
      </c>
      <c r="D140" s="5">
        <v>3500</v>
      </c>
    </row>
    <row r="141" spans="1:4">
      <c r="A141" s="5" t="s">
        <v>447</v>
      </c>
      <c r="B141" s="5" t="s">
        <v>211</v>
      </c>
      <c r="C141" s="5" t="s">
        <v>206</v>
      </c>
      <c r="D141" s="5">
        <v>3500</v>
      </c>
    </row>
    <row r="142" spans="1:4">
      <c r="A142" s="5" t="s">
        <v>447</v>
      </c>
      <c r="B142" s="5" t="s">
        <v>211</v>
      </c>
      <c r="C142" s="5" t="s">
        <v>206</v>
      </c>
      <c r="D142" s="5">
        <v>3500</v>
      </c>
    </row>
    <row r="143" spans="1:4">
      <c r="A143" s="5" t="s">
        <v>447</v>
      </c>
      <c r="B143" s="5" t="s">
        <v>211</v>
      </c>
      <c r="C143" s="5" t="s">
        <v>206</v>
      </c>
      <c r="D143" s="5">
        <v>3500</v>
      </c>
    </row>
    <row r="144" spans="1:4">
      <c r="A144" s="5" t="s">
        <v>447</v>
      </c>
      <c r="B144" s="5" t="s">
        <v>211</v>
      </c>
      <c r="C144" s="5" t="s">
        <v>206</v>
      </c>
      <c r="D144" s="5">
        <v>900</v>
      </c>
    </row>
    <row r="145" spans="1:4">
      <c r="A145" s="5" t="s">
        <v>446</v>
      </c>
      <c r="B145" s="5" t="s">
        <v>211</v>
      </c>
      <c r="C145" s="5" t="s">
        <v>206</v>
      </c>
      <c r="D145" s="5">
        <v>900</v>
      </c>
    </row>
    <row r="146" spans="1:4">
      <c r="A146" s="5" t="s">
        <v>446</v>
      </c>
      <c r="B146" s="5" t="s">
        <v>211</v>
      </c>
      <c r="C146" s="5" t="s">
        <v>206</v>
      </c>
      <c r="D146" s="5">
        <v>3500</v>
      </c>
    </row>
    <row r="147" spans="1:4">
      <c r="A147" s="5" t="s">
        <v>446</v>
      </c>
      <c r="B147" s="5" t="s">
        <v>211</v>
      </c>
      <c r="C147" s="5" t="s">
        <v>206</v>
      </c>
      <c r="D147" s="5">
        <v>3500</v>
      </c>
    </row>
    <row r="148" spans="1:4">
      <c r="A148" s="5" t="s">
        <v>445</v>
      </c>
      <c r="B148" s="5" t="s">
        <v>221</v>
      </c>
      <c r="C148" s="5" t="s">
        <v>206</v>
      </c>
      <c r="D148" s="5">
        <v>45045</v>
      </c>
    </row>
    <row r="149" spans="1:4">
      <c r="A149" s="5" t="s">
        <v>446</v>
      </c>
      <c r="B149" s="5" t="s">
        <v>221</v>
      </c>
      <c r="C149" s="5" t="s">
        <v>206</v>
      </c>
      <c r="D149" s="5">
        <v>17380</v>
      </c>
    </row>
    <row r="150" spans="1:4">
      <c r="A150" s="5" t="s">
        <v>446</v>
      </c>
      <c r="B150" s="5" t="s">
        <v>228</v>
      </c>
      <c r="C150" s="5" t="s">
        <v>206</v>
      </c>
      <c r="D150" s="5">
        <v>51600</v>
      </c>
    </row>
    <row r="151" spans="1:4">
      <c r="A151" s="5" t="s">
        <v>446</v>
      </c>
      <c r="B151" s="5" t="s">
        <v>221</v>
      </c>
      <c r="C151" s="5" t="s">
        <v>206</v>
      </c>
      <c r="D151" s="5">
        <v>6900</v>
      </c>
    </row>
    <row r="152" spans="1:4">
      <c r="A152" s="5" t="s">
        <v>446</v>
      </c>
      <c r="B152" s="5" t="s">
        <v>221</v>
      </c>
      <c r="C152" s="5" t="s">
        <v>206</v>
      </c>
      <c r="D152" s="5">
        <v>3390</v>
      </c>
    </row>
    <row r="153" spans="1:4">
      <c r="A153" s="5" t="s">
        <v>446</v>
      </c>
      <c r="B153" s="5" t="s">
        <v>221</v>
      </c>
      <c r="C153" s="5" t="s">
        <v>206</v>
      </c>
      <c r="D153" s="5">
        <v>2190</v>
      </c>
    </row>
    <row r="154" spans="1:4">
      <c r="A154" s="5" t="s">
        <v>446</v>
      </c>
      <c r="B154" s="5" t="s">
        <v>333</v>
      </c>
      <c r="C154" s="5" t="s">
        <v>214</v>
      </c>
      <c r="D154" s="5">
        <v>1400</v>
      </c>
    </row>
    <row r="155" spans="1:4">
      <c r="A155" s="4" t="s">
        <v>443</v>
      </c>
      <c r="B155" s="4"/>
      <c r="C155" s="4"/>
      <c r="D155" s="6">
        <f>+SUM(D133:D154)</f>
        <v>598208</v>
      </c>
    </row>
    <row r="158" spans="1:4">
      <c r="A158" s="5" t="s">
        <v>448</v>
      </c>
      <c r="B158" s="5"/>
      <c r="C158" s="5"/>
      <c r="D158" s="5"/>
    </row>
    <row r="159" spans="1:4">
      <c r="A159" s="5"/>
      <c r="B159" s="5"/>
      <c r="C159" s="5"/>
      <c r="D159" s="5"/>
    </row>
    <row r="160" spans="1:4">
      <c r="A160" s="8">
        <v>45890</v>
      </c>
      <c r="B160" s="5" t="s">
        <v>454</v>
      </c>
      <c r="C160" s="5"/>
      <c r="D160" s="9">
        <v>9923</v>
      </c>
    </row>
    <row r="161" spans="1:4">
      <c r="A161" s="8">
        <v>45890</v>
      </c>
      <c r="B161" s="5" t="s">
        <v>224</v>
      </c>
      <c r="C161" s="5" t="s">
        <v>206</v>
      </c>
      <c r="D161" s="9">
        <v>67667</v>
      </c>
    </row>
    <row r="162" spans="1:4">
      <c r="A162" s="8">
        <v>45890</v>
      </c>
      <c r="B162" s="5" t="s">
        <v>221</v>
      </c>
      <c r="C162" s="5" t="s">
        <v>206</v>
      </c>
      <c r="D162" s="9">
        <v>6790</v>
      </c>
    </row>
    <row r="163" spans="1:4">
      <c r="A163" s="8">
        <v>45889</v>
      </c>
      <c r="B163" s="5" t="s">
        <v>221</v>
      </c>
      <c r="C163" s="5" t="s">
        <v>206</v>
      </c>
      <c r="D163" s="9">
        <v>81320</v>
      </c>
    </row>
    <row r="164" spans="1:4">
      <c r="A164" s="8">
        <v>45889</v>
      </c>
      <c r="B164" s="5" t="s">
        <v>224</v>
      </c>
      <c r="C164" s="5" t="s">
        <v>206</v>
      </c>
      <c r="D164" s="9">
        <v>77003</v>
      </c>
    </row>
    <row r="165" spans="1:4">
      <c r="A165" s="8">
        <v>45889</v>
      </c>
      <c r="B165" s="5" t="s">
        <v>221</v>
      </c>
      <c r="C165" s="5" t="s">
        <v>206</v>
      </c>
      <c r="D165" s="9">
        <v>3390</v>
      </c>
    </row>
    <row r="166" spans="1:4">
      <c r="A166" s="8">
        <v>45889</v>
      </c>
      <c r="B166" s="5" t="s">
        <v>221</v>
      </c>
      <c r="C166" s="5" t="s">
        <v>206</v>
      </c>
      <c r="D166" s="9">
        <v>46500</v>
      </c>
    </row>
    <row r="167" spans="1:4">
      <c r="A167" s="8">
        <v>45888</v>
      </c>
      <c r="B167" s="5" t="s">
        <v>450</v>
      </c>
      <c r="C167" s="5" t="s">
        <v>206</v>
      </c>
      <c r="D167" s="9">
        <v>21980</v>
      </c>
    </row>
    <row r="168" spans="1:4">
      <c r="A168" s="8">
        <v>45888</v>
      </c>
      <c r="B168" s="5" t="s">
        <v>221</v>
      </c>
      <c r="C168" s="5" t="s">
        <v>206</v>
      </c>
      <c r="D168" s="9">
        <v>93955</v>
      </c>
    </row>
    <row r="169" spans="1:4">
      <c r="A169" s="8">
        <v>45888</v>
      </c>
      <c r="B169" s="5" t="s">
        <v>228</v>
      </c>
      <c r="C169" s="5" t="s">
        <v>206</v>
      </c>
      <c r="D169" s="9">
        <v>3240</v>
      </c>
    </row>
    <row r="170" spans="1:4">
      <c r="A170" s="8">
        <v>45888</v>
      </c>
      <c r="B170" s="5" t="s">
        <v>221</v>
      </c>
      <c r="C170" s="5" t="s">
        <v>206</v>
      </c>
      <c r="D170" s="9">
        <v>5670</v>
      </c>
    </row>
    <row r="171" spans="1:4">
      <c r="A171" s="8">
        <v>45887</v>
      </c>
      <c r="B171" s="5" t="s">
        <v>221</v>
      </c>
      <c r="C171" s="5" t="s">
        <v>206</v>
      </c>
      <c r="D171" s="9">
        <v>6200</v>
      </c>
    </row>
    <row r="172" spans="1:4">
      <c r="A172" s="8">
        <v>45887</v>
      </c>
      <c r="B172" s="5" t="s">
        <v>221</v>
      </c>
      <c r="C172" s="5" t="s">
        <v>206</v>
      </c>
      <c r="D172" s="9">
        <v>69730</v>
      </c>
    </row>
    <row r="173" spans="1:4">
      <c r="A173" s="8">
        <v>45887</v>
      </c>
      <c r="B173" s="5" t="s">
        <v>221</v>
      </c>
      <c r="C173" s="5" t="s">
        <v>206</v>
      </c>
      <c r="D173" s="9">
        <v>17380</v>
      </c>
    </row>
    <row r="174" spans="1:4">
      <c r="A174" s="8">
        <v>45887</v>
      </c>
      <c r="B174" s="5" t="s">
        <v>449</v>
      </c>
      <c r="C174" s="5" t="s">
        <v>217</v>
      </c>
      <c r="D174" s="9">
        <v>10000</v>
      </c>
    </row>
    <row r="175" spans="1:4">
      <c r="A175" s="8">
        <v>45887</v>
      </c>
      <c r="B175" s="5" t="s">
        <v>337</v>
      </c>
      <c r="C175" s="5" t="s">
        <v>217</v>
      </c>
      <c r="D175" s="9">
        <v>20000</v>
      </c>
    </row>
    <row r="176" spans="1:4">
      <c r="A176" s="8">
        <v>45884</v>
      </c>
      <c r="B176" s="5" t="s">
        <v>451</v>
      </c>
      <c r="C176" s="5" t="s">
        <v>223</v>
      </c>
      <c r="D176" s="9">
        <v>200609</v>
      </c>
    </row>
    <row r="177" spans="1:4">
      <c r="A177" s="8">
        <v>45880</v>
      </c>
      <c r="B177" s="5" t="s">
        <v>452</v>
      </c>
      <c r="C177" s="5" t="s">
        <v>223</v>
      </c>
      <c r="D177" s="9">
        <v>462752</v>
      </c>
    </row>
    <row r="178" spans="1:4">
      <c r="A178" s="4" t="s">
        <v>453</v>
      </c>
      <c r="B178" s="5"/>
      <c r="C178" s="5"/>
      <c r="D178" s="10">
        <f>+SUM(D160:D177)</f>
        <v>1204109</v>
      </c>
    </row>
    <row r="181" spans="1:4">
      <c r="A181" s="5" t="s">
        <v>455</v>
      </c>
      <c r="B181" s="5"/>
      <c r="C181" s="5"/>
      <c r="D181" s="5"/>
    </row>
    <row r="182" spans="1:4">
      <c r="A182" s="21" t="s">
        <v>468</v>
      </c>
      <c r="B182" s="5" t="s">
        <v>561</v>
      </c>
      <c r="C182" s="5" t="s">
        <v>206</v>
      </c>
      <c r="D182" s="22">
        <v>170500</v>
      </c>
    </row>
    <row r="183" spans="1:4">
      <c r="A183" s="21" t="s">
        <v>468</v>
      </c>
      <c r="B183" s="5" t="s">
        <v>475</v>
      </c>
      <c r="C183" s="5" t="s">
        <v>206</v>
      </c>
      <c r="D183" s="22">
        <v>155500</v>
      </c>
    </row>
    <row r="184" spans="1:4">
      <c r="A184" s="21" t="s">
        <v>468</v>
      </c>
      <c r="B184" s="5" t="s">
        <v>476</v>
      </c>
      <c r="C184" s="5" t="s">
        <v>206</v>
      </c>
      <c r="D184" s="22">
        <v>155500</v>
      </c>
    </row>
    <row r="185" spans="1:4">
      <c r="A185" s="21" t="s">
        <v>468</v>
      </c>
      <c r="B185" s="5" t="s">
        <v>477</v>
      </c>
      <c r="C185" s="5" t="s">
        <v>206</v>
      </c>
      <c r="D185" s="22">
        <v>155500</v>
      </c>
    </row>
    <row r="186" spans="1:4">
      <c r="A186" s="21" t="s">
        <v>468</v>
      </c>
      <c r="B186" s="5" t="s">
        <v>478</v>
      </c>
      <c r="C186" s="5" t="s">
        <v>206</v>
      </c>
      <c r="D186" s="22">
        <v>155500</v>
      </c>
    </row>
    <row r="187" spans="1:4">
      <c r="A187" s="21" t="s">
        <v>469</v>
      </c>
      <c r="B187" s="5" t="s">
        <v>479</v>
      </c>
      <c r="C187" s="5" t="s">
        <v>206</v>
      </c>
      <c r="D187" s="22">
        <v>327500</v>
      </c>
    </row>
    <row r="188" spans="1:4">
      <c r="A188" s="21" t="s">
        <v>469</v>
      </c>
      <c r="B188" s="5" t="s">
        <v>480</v>
      </c>
      <c r="C188" s="5" t="s">
        <v>206</v>
      </c>
      <c r="D188" s="22">
        <v>160000</v>
      </c>
    </row>
    <row r="189" spans="1:4">
      <c r="A189" s="21" t="s">
        <v>470</v>
      </c>
      <c r="B189" s="5" t="s">
        <v>481</v>
      </c>
      <c r="C189" s="5" t="s">
        <v>206</v>
      </c>
      <c r="D189" s="22">
        <v>161500</v>
      </c>
    </row>
    <row r="190" spans="1:4">
      <c r="A190" s="21" t="s">
        <v>470</v>
      </c>
      <c r="B190" s="5" t="s">
        <v>482</v>
      </c>
      <c r="C190" s="5" t="s">
        <v>206</v>
      </c>
      <c r="D190" s="22">
        <v>155500</v>
      </c>
    </row>
    <row r="191" spans="1:4">
      <c r="A191" s="21" t="s">
        <v>470</v>
      </c>
      <c r="B191" s="5" t="s">
        <v>483</v>
      </c>
      <c r="C191" s="5" t="s">
        <v>206</v>
      </c>
      <c r="D191" s="22">
        <v>160000</v>
      </c>
    </row>
    <row r="192" spans="1:4">
      <c r="A192" s="21" t="s">
        <v>470</v>
      </c>
      <c r="B192" s="5" t="s">
        <v>484</v>
      </c>
      <c r="C192" s="5" t="s">
        <v>206</v>
      </c>
      <c r="D192" s="22">
        <v>150500</v>
      </c>
    </row>
    <row r="193" spans="1:4">
      <c r="A193" s="21" t="s">
        <v>470</v>
      </c>
      <c r="B193" s="5" t="s">
        <v>485</v>
      </c>
      <c r="C193" s="5" t="s">
        <v>206</v>
      </c>
      <c r="D193" s="22">
        <v>155500</v>
      </c>
    </row>
    <row r="194" spans="1:4">
      <c r="A194" s="21" t="s">
        <v>470</v>
      </c>
      <c r="B194" s="5" t="s">
        <v>486</v>
      </c>
      <c r="C194" s="5" t="s">
        <v>206</v>
      </c>
      <c r="D194" s="22">
        <v>155500</v>
      </c>
    </row>
    <row r="195" spans="1:4">
      <c r="A195" s="21" t="s">
        <v>470</v>
      </c>
      <c r="B195" s="5" t="s">
        <v>487</v>
      </c>
      <c r="C195" s="5" t="s">
        <v>206</v>
      </c>
      <c r="D195" s="22">
        <v>161500</v>
      </c>
    </row>
    <row r="196" spans="1:4">
      <c r="A196" s="21" t="s">
        <v>470</v>
      </c>
      <c r="B196" s="5" t="s">
        <v>488</v>
      </c>
      <c r="C196" s="5" t="s">
        <v>206</v>
      </c>
      <c r="D196" s="22">
        <v>161500</v>
      </c>
    </row>
    <row r="197" spans="1:4">
      <c r="A197" s="21" t="s">
        <v>470</v>
      </c>
      <c r="B197" s="5" t="s">
        <v>489</v>
      </c>
      <c r="C197" s="5" t="s">
        <v>206</v>
      </c>
      <c r="D197" s="22">
        <v>155500</v>
      </c>
    </row>
    <row r="198" spans="1:4">
      <c r="A198" s="21" t="s">
        <v>470</v>
      </c>
      <c r="B198" s="5" t="s">
        <v>490</v>
      </c>
      <c r="C198" s="5" t="s">
        <v>206</v>
      </c>
      <c r="D198" s="22">
        <v>161500</v>
      </c>
    </row>
    <row r="199" spans="1:4">
      <c r="A199" s="21" t="s">
        <v>471</v>
      </c>
      <c r="B199" s="5" t="s">
        <v>491</v>
      </c>
      <c r="C199" s="5" t="s">
        <v>206</v>
      </c>
      <c r="D199" s="22">
        <v>160000</v>
      </c>
    </row>
    <row r="200" spans="1:4">
      <c r="A200" s="21" t="s">
        <v>471</v>
      </c>
      <c r="B200" s="5" t="s">
        <v>492</v>
      </c>
      <c r="C200" s="5" t="s">
        <v>206</v>
      </c>
      <c r="D200" s="22">
        <v>155500</v>
      </c>
    </row>
    <row r="201" spans="1:4">
      <c r="A201" s="21" t="s">
        <v>471</v>
      </c>
      <c r="B201" s="5" t="s">
        <v>493</v>
      </c>
      <c r="C201" s="5" t="s">
        <v>206</v>
      </c>
      <c r="D201" s="22">
        <v>155500</v>
      </c>
    </row>
    <row r="202" spans="1:4">
      <c r="A202" s="21" t="s">
        <v>472</v>
      </c>
      <c r="B202" s="5" t="s">
        <v>494</v>
      </c>
      <c r="C202" s="5" t="s">
        <v>206</v>
      </c>
      <c r="D202" s="22">
        <v>160000</v>
      </c>
    </row>
    <row r="203" spans="1:4">
      <c r="A203" s="21" t="s">
        <v>473</v>
      </c>
      <c r="B203" s="5" t="s">
        <v>495</v>
      </c>
      <c r="C203" s="5" t="s">
        <v>206</v>
      </c>
      <c r="D203" s="22">
        <v>162500</v>
      </c>
    </row>
    <row r="204" spans="1:4">
      <c r="A204" s="21" t="s">
        <v>473</v>
      </c>
      <c r="B204" s="5" t="s">
        <v>496</v>
      </c>
      <c r="C204" s="5" t="s">
        <v>206</v>
      </c>
      <c r="D204" s="22">
        <v>162500</v>
      </c>
    </row>
    <row r="205" spans="1:4">
      <c r="A205" s="21" t="s">
        <v>473</v>
      </c>
      <c r="B205" s="5" t="s">
        <v>497</v>
      </c>
      <c r="C205" s="5" t="s">
        <v>206</v>
      </c>
      <c r="D205" s="22">
        <v>162500</v>
      </c>
    </row>
    <row r="206" spans="1:4">
      <c r="A206" s="21" t="s">
        <v>474</v>
      </c>
      <c r="B206" s="5" t="s">
        <v>498</v>
      </c>
      <c r="C206" s="5" t="s">
        <v>206</v>
      </c>
      <c r="D206" s="22">
        <v>155500</v>
      </c>
    </row>
    <row r="207" spans="1:4">
      <c r="A207" s="4" t="s">
        <v>499</v>
      </c>
      <c r="B207" s="5"/>
      <c r="C207" s="5"/>
      <c r="D207" s="10">
        <f>+SUM(D182:D206)</f>
        <v>4132500</v>
      </c>
    </row>
    <row r="210" spans="1:4">
      <c r="A210" s="4" t="s">
        <v>514</v>
      </c>
      <c r="B210" s="5"/>
      <c r="C210" s="5"/>
      <c r="D210" s="5"/>
    </row>
    <row r="211" spans="1:4">
      <c r="A211" s="4" t="s">
        <v>207</v>
      </c>
      <c r="B211" s="4" t="s">
        <v>208</v>
      </c>
      <c r="C211" s="4" t="s">
        <v>209</v>
      </c>
      <c r="D211" s="4" t="s">
        <v>210</v>
      </c>
    </row>
    <row r="212" spans="1:4">
      <c r="A212" s="5" t="s">
        <v>515</v>
      </c>
      <c r="B212" s="5" t="s">
        <v>516</v>
      </c>
      <c r="C212" s="5" t="s">
        <v>223</v>
      </c>
      <c r="D212" s="22">
        <v>668732</v>
      </c>
    </row>
    <row r="213" spans="1:4">
      <c r="A213" s="5" t="s">
        <v>517</v>
      </c>
      <c r="B213" s="5" t="s">
        <v>332</v>
      </c>
      <c r="C213" s="5" t="s">
        <v>206</v>
      </c>
      <c r="D213" s="22">
        <v>5556</v>
      </c>
    </row>
    <row r="214" spans="1:4">
      <c r="A214" s="5" t="s">
        <v>517</v>
      </c>
      <c r="B214" s="5" t="s">
        <v>432</v>
      </c>
      <c r="C214" s="5" t="s">
        <v>206</v>
      </c>
      <c r="D214" s="22">
        <v>25723</v>
      </c>
    </row>
    <row r="215" spans="1:4">
      <c r="A215" s="5" t="s">
        <v>517</v>
      </c>
      <c r="B215" s="5" t="s">
        <v>518</v>
      </c>
      <c r="C215" s="5" t="s">
        <v>223</v>
      </c>
      <c r="D215" s="22">
        <v>134914</v>
      </c>
    </row>
    <row r="216" spans="1:4">
      <c r="A216" s="5" t="s">
        <v>517</v>
      </c>
      <c r="B216" s="5" t="s">
        <v>211</v>
      </c>
      <c r="C216" s="5" t="s">
        <v>206</v>
      </c>
      <c r="D216" s="22">
        <v>900</v>
      </c>
    </row>
    <row r="217" spans="1:4">
      <c r="A217" s="5" t="s">
        <v>517</v>
      </c>
      <c r="B217" s="5" t="s">
        <v>221</v>
      </c>
      <c r="C217" s="5" t="s">
        <v>206</v>
      </c>
      <c r="D217" s="22">
        <v>48620</v>
      </c>
    </row>
    <row r="218" spans="1:4">
      <c r="A218" s="5" t="s">
        <v>520</v>
      </c>
      <c r="B218" s="5" t="s">
        <v>519</v>
      </c>
      <c r="C218" s="5" t="s">
        <v>223</v>
      </c>
      <c r="D218" s="22">
        <v>113920</v>
      </c>
    </row>
    <row r="219" spans="1:4">
      <c r="A219" s="5" t="s">
        <v>520</v>
      </c>
      <c r="B219" s="5" t="s">
        <v>221</v>
      </c>
      <c r="C219" s="5" t="s">
        <v>206</v>
      </c>
      <c r="D219" s="22">
        <v>9350</v>
      </c>
    </row>
    <row r="220" spans="1:4">
      <c r="A220" s="5" t="s">
        <v>520</v>
      </c>
      <c r="B220" s="5" t="s">
        <v>221</v>
      </c>
      <c r="C220" s="5" t="s">
        <v>206</v>
      </c>
      <c r="D220" s="22">
        <v>12170</v>
      </c>
    </row>
    <row r="221" spans="1:4">
      <c r="A221" s="5" t="s">
        <v>520</v>
      </c>
      <c r="B221" s="5" t="s">
        <v>221</v>
      </c>
      <c r="C221" s="5" t="s">
        <v>206</v>
      </c>
      <c r="D221" s="22">
        <v>2190</v>
      </c>
    </row>
    <row r="222" spans="1:4">
      <c r="A222" s="5" t="s">
        <v>520</v>
      </c>
      <c r="B222" s="5" t="s">
        <v>211</v>
      </c>
      <c r="C222" s="5" t="s">
        <v>206</v>
      </c>
      <c r="D222" s="22">
        <v>3500</v>
      </c>
    </row>
    <row r="223" spans="1:4">
      <c r="A223" s="5" t="s">
        <v>520</v>
      </c>
      <c r="B223" s="5" t="s">
        <v>211</v>
      </c>
      <c r="C223" s="5" t="s">
        <v>206</v>
      </c>
      <c r="D223" s="22">
        <v>3500</v>
      </c>
    </row>
    <row r="224" spans="1:4">
      <c r="A224" s="5" t="s">
        <v>520</v>
      </c>
      <c r="B224" s="5" t="s">
        <v>211</v>
      </c>
      <c r="C224" s="5" t="s">
        <v>206</v>
      </c>
      <c r="D224" s="22">
        <v>3500</v>
      </c>
    </row>
    <row r="225" spans="1:4">
      <c r="A225" s="5" t="s">
        <v>520</v>
      </c>
      <c r="B225" s="5" t="s">
        <v>211</v>
      </c>
      <c r="C225" s="5" t="s">
        <v>206</v>
      </c>
      <c r="D225" s="22">
        <v>3500</v>
      </c>
    </row>
    <row r="226" spans="1:4">
      <c r="A226" s="5" t="s">
        <v>520</v>
      </c>
      <c r="B226" s="5" t="s">
        <v>224</v>
      </c>
      <c r="C226" s="5" t="s">
        <v>206</v>
      </c>
      <c r="D226" s="22">
        <v>48192</v>
      </c>
    </row>
    <row r="227" spans="1:4">
      <c r="A227" s="5" t="s">
        <v>520</v>
      </c>
      <c r="B227" s="5" t="s">
        <v>432</v>
      </c>
      <c r="C227" s="5" t="s">
        <v>206</v>
      </c>
      <c r="D227" s="22">
        <v>20995</v>
      </c>
    </row>
    <row r="228" spans="1:4">
      <c r="A228" s="5" t="s">
        <v>446</v>
      </c>
      <c r="B228" s="5" t="s">
        <v>333</v>
      </c>
      <c r="C228" s="5" t="s">
        <v>214</v>
      </c>
      <c r="D228" s="22">
        <v>1000</v>
      </c>
    </row>
    <row r="229" spans="1:4">
      <c r="A229" s="4" t="s">
        <v>521</v>
      </c>
      <c r="B229" s="4"/>
      <c r="C229" s="4"/>
      <c r="D229" s="6">
        <f>+SUM(D212:D228)</f>
        <v>1106262</v>
      </c>
    </row>
    <row r="233" spans="1:4">
      <c r="A233" s="4" t="s">
        <v>562</v>
      </c>
      <c r="B233" s="5"/>
      <c r="C233" s="5"/>
      <c r="D233" s="5"/>
    </row>
    <row r="234" spans="1:4">
      <c r="A234" s="4" t="s">
        <v>207</v>
      </c>
      <c r="B234" s="4" t="s">
        <v>208</v>
      </c>
      <c r="C234" s="4" t="s">
        <v>209</v>
      </c>
      <c r="D234" s="4" t="s">
        <v>210</v>
      </c>
    </row>
    <row r="235" spans="1:4">
      <c r="A235" s="5" t="s">
        <v>563</v>
      </c>
      <c r="B235" s="5" t="s">
        <v>564</v>
      </c>
      <c r="C235" s="5" t="s">
        <v>206</v>
      </c>
      <c r="D235" s="24">
        <v>7000</v>
      </c>
    </row>
    <row r="236" spans="1:4">
      <c r="A236" s="5" t="s">
        <v>563</v>
      </c>
      <c r="B236" s="5" t="s">
        <v>224</v>
      </c>
      <c r="C236" s="5" t="s">
        <v>206</v>
      </c>
      <c r="D236" s="24">
        <v>38700</v>
      </c>
    </row>
    <row r="237" spans="1:4">
      <c r="A237" s="5" t="s">
        <v>563</v>
      </c>
      <c r="B237" s="5" t="s">
        <v>565</v>
      </c>
      <c r="C237" s="5" t="s">
        <v>206</v>
      </c>
      <c r="D237" s="24">
        <v>12500</v>
      </c>
    </row>
    <row r="238" spans="1:4">
      <c r="A238" s="5" t="s">
        <v>563</v>
      </c>
      <c r="B238" s="5" t="s">
        <v>566</v>
      </c>
      <c r="C238" s="5" t="s">
        <v>206</v>
      </c>
      <c r="D238" s="24">
        <v>3870</v>
      </c>
    </row>
    <row r="239" spans="1:4">
      <c r="A239" s="5" t="s">
        <v>563</v>
      </c>
      <c r="B239" s="5" t="s">
        <v>568</v>
      </c>
      <c r="C239" s="5" t="s">
        <v>206</v>
      </c>
      <c r="D239" s="24">
        <v>23065</v>
      </c>
    </row>
    <row r="240" spans="1:4">
      <c r="A240" s="5" t="s">
        <v>563</v>
      </c>
      <c r="B240" s="5" t="s">
        <v>228</v>
      </c>
      <c r="C240" s="5" t="s">
        <v>206</v>
      </c>
      <c r="D240" s="24">
        <v>3880</v>
      </c>
    </row>
    <row r="241" spans="1:4">
      <c r="A241" s="5" t="s">
        <v>563</v>
      </c>
      <c r="B241" s="5" t="s">
        <v>567</v>
      </c>
      <c r="C241" s="5" t="s">
        <v>206</v>
      </c>
      <c r="D241" s="24">
        <v>32087</v>
      </c>
    </row>
    <row r="242" spans="1:4">
      <c r="A242" s="5" t="s">
        <v>569</v>
      </c>
      <c r="B242" s="5" t="s">
        <v>568</v>
      </c>
      <c r="C242" s="5" t="s">
        <v>206</v>
      </c>
      <c r="D242" s="24">
        <v>5400</v>
      </c>
    </row>
    <row r="243" spans="1:4">
      <c r="A243" s="5" t="s">
        <v>569</v>
      </c>
      <c r="B243" s="5" t="s">
        <v>568</v>
      </c>
      <c r="C243" s="5" t="s">
        <v>206</v>
      </c>
      <c r="D243" s="24">
        <v>164560</v>
      </c>
    </row>
    <row r="244" spans="1:4">
      <c r="A244" s="5" t="s">
        <v>569</v>
      </c>
      <c r="B244" s="5" t="s">
        <v>568</v>
      </c>
      <c r="C244" s="5" t="s">
        <v>206</v>
      </c>
      <c r="D244" s="24">
        <v>19800</v>
      </c>
    </row>
    <row r="245" spans="1:4">
      <c r="A245" s="5" t="s">
        <v>580</v>
      </c>
      <c r="B245" s="5" t="s">
        <v>568</v>
      </c>
      <c r="C245" s="5" t="s">
        <v>206</v>
      </c>
      <c r="D245" s="24">
        <v>26370</v>
      </c>
    </row>
    <row r="246" spans="1:4">
      <c r="A246" s="4" t="s">
        <v>521</v>
      </c>
      <c r="B246" s="4"/>
      <c r="C246" s="4"/>
      <c r="D246" s="6">
        <f>+SUM(D235:D245)</f>
        <v>337232</v>
      </c>
    </row>
    <row r="249" spans="1:4">
      <c r="A249" s="4" t="s">
        <v>572</v>
      </c>
      <c r="B249" s="5"/>
      <c r="C249" s="5"/>
      <c r="D249" s="5"/>
    </row>
    <row r="250" spans="1:4">
      <c r="A250" s="4" t="s">
        <v>207</v>
      </c>
      <c r="B250" s="4" t="s">
        <v>208</v>
      </c>
      <c r="C250" s="4" t="s">
        <v>209</v>
      </c>
      <c r="D250" s="4" t="s">
        <v>210</v>
      </c>
    </row>
    <row r="251" spans="1:4">
      <c r="A251" s="5" t="s">
        <v>573</v>
      </c>
      <c r="B251" s="5" t="s">
        <v>574</v>
      </c>
      <c r="C251" s="5" t="s">
        <v>223</v>
      </c>
      <c r="D251" s="22">
        <v>359870</v>
      </c>
    </row>
    <row r="252" spans="1:4">
      <c r="A252" s="5" t="s">
        <v>575</v>
      </c>
      <c r="B252" s="5" t="s">
        <v>576</v>
      </c>
      <c r="C252" s="5" t="s">
        <v>223</v>
      </c>
      <c r="D252" s="22">
        <v>341592</v>
      </c>
    </row>
    <row r="253" spans="1:4">
      <c r="A253" s="5" t="s">
        <v>577</v>
      </c>
      <c r="B253" s="5" t="s">
        <v>518</v>
      </c>
      <c r="C253" s="25" t="s">
        <v>223</v>
      </c>
      <c r="D253" s="22">
        <v>452290</v>
      </c>
    </row>
    <row r="254" spans="1:4">
      <c r="A254" s="5" t="s">
        <v>577</v>
      </c>
      <c r="B254" s="5" t="s">
        <v>578</v>
      </c>
      <c r="C254" s="5" t="s">
        <v>223</v>
      </c>
      <c r="D254" s="22">
        <v>298760</v>
      </c>
    </row>
    <row r="255" spans="1:4">
      <c r="A255" s="5" t="s">
        <v>577</v>
      </c>
      <c r="B255" s="5" t="s">
        <v>221</v>
      </c>
      <c r="C255" s="5" t="s">
        <v>206</v>
      </c>
      <c r="D255" s="24">
        <v>94600</v>
      </c>
    </row>
    <row r="256" spans="1:4">
      <c r="A256" s="5" t="s">
        <v>577</v>
      </c>
      <c r="B256" s="5" t="s">
        <v>221</v>
      </c>
      <c r="C256" s="5" t="s">
        <v>206</v>
      </c>
      <c r="D256" s="24">
        <v>4000</v>
      </c>
    </row>
    <row r="257" spans="1:4">
      <c r="A257" s="5" t="s">
        <v>579</v>
      </c>
      <c r="B257" s="5" t="s">
        <v>224</v>
      </c>
      <c r="C257" s="5" t="s">
        <v>206</v>
      </c>
      <c r="D257" s="24">
        <v>68187</v>
      </c>
    </row>
    <row r="258" spans="1:4">
      <c r="A258" s="4" t="s">
        <v>571</v>
      </c>
      <c r="B258" s="4"/>
      <c r="C258" s="4"/>
      <c r="D258" s="6">
        <f>+SUM(D251:D257)</f>
        <v>1619299</v>
      </c>
    </row>
    <row r="261" spans="1:4">
      <c r="A261" s="4" t="s">
        <v>594</v>
      </c>
      <c r="B261" s="5"/>
      <c r="C261" s="4" t="s">
        <v>209</v>
      </c>
      <c r="D261" s="4" t="s">
        <v>210</v>
      </c>
    </row>
    <row r="262" spans="1:4">
      <c r="A262" s="21" t="s">
        <v>589</v>
      </c>
      <c r="B262" s="5" t="s">
        <v>590</v>
      </c>
      <c r="C262" s="5" t="s">
        <v>206</v>
      </c>
      <c r="D262" s="28">
        <v>167500</v>
      </c>
    </row>
    <row r="263" spans="1:4">
      <c r="A263" s="21">
        <v>45785</v>
      </c>
      <c r="B263" s="5" t="s">
        <v>591</v>
      </c>
      <c r="C263" s="5"/>
      <c r="D263" s="28">
        <v>326000</v>
      </c>
    </row>
    <row r="264" spans="1:4">
      <c r="A264" s="21" t="s">
        <v>593</v>
      </c>
      <c r="B264" s="5" t="s">
        <v>592</v>
      </c>
      <c r="C264" s="5"/>
      <c r="D264" s="28">
        <v>161500</v>
      </c>
    </row>
    <row r="265" spans="1:4">
      <c r="A265" s="4" t="s">
        <v>584</v>
      </c>
      <c r="B265" s="5"/>
      <c r="C265" s="5"/>
      <c r="D265" s="10">
        <f>+SUM(D262:D264)</f>
        <v>655000</v>
      </c>
    </row>
    <row r="266" spans="1:4">
      <c r="A266" s="26"/>
      <c r="D266" s="29"/>
    </row>
    <row r="267" spans="1:4">
      <c r="A267" s="26"/>
      <c r="D267" s="29"/>
    </row>
    <row r="269" spans="1:4">
      <c r="A269" s="26"/>
      <c r="D269" s="29"/>
    </row>
    <row r="271" spans="1:4">
      <c r="A271" s="26"/>
      <c r="D271" s="27"/>
    </row>
    <row r="272" spans="1:4">
      <c r="A272" s="26"/>
      <c r="D272" s="27"/>
    </row>
    <row r="273" spans="1:4">
      <c r="A273" s="26"/>
      <c r="D273" s="27"/>
    </row>
    <row r="274" spans="1:4">
      <c r="A274" s="26"/>
      <c r="D274" s="27"/>
    </row>
    <row r="275" spans="1:4">
      <c r="A275" s="26"/>
      <c r="D275" s="27"/>
    </row>
    <row r="276" spans="1:4">
      <c r="A276" s="26"/>
      <c r="D276" s="27"/>
    </row>
    <row r="277" spans="1:4">
      <c r="A277" s="26"/>
      <c r="D277" s="27"/>
    </row>
    <row r="278" spans="1:4">
      <c r="A278" s="26"/>
      <c r="D278" s="27"/>
    </row>
    <row r="279" spans="1:4">
      <c r="A279" s="26"/>
      <c r="D279" s="27"/>
    </row>
    <row r="280" spans="1:4">
      <c r="A280" s="26"/>
      <c r="D280" s="27"/>
    </row>
    <row r="281" spans="1:4">
      <c r="A281" s="26"/>
      <c r="D281" s="27"/>
    </row>
    <row r="282" spans="1:4">
      <c r="A282" s="26"/>
      <c r="D282" s="27"/>
    </row>
    <row r="283" spans="1:4">
      <c r="A283" s="26"/>
      <c r="D283" s="27"/>
    </row>
    <row r="284" spans="1:4">
      <c r="A284" s="26"/>
      <c r="D284" s="27"/>
    </row>
    <row r="285" spans="1:4">
      <c r="A285" s="26"/>
      <c r="D285" s="27"/>
    </row>
    <row r="286" spans="1:4">
      <c r="A286" s="26"/>
      <c r="D286" s="2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MOVIMIENTOS</vt:lpstr>
      <vt:lpstr>CATEGORIAS</vt:lpstr>
      <vt:lpstr>Rendiciones de 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Lecaros</dc:creator>
  <cp:lastModifiedBy>Benjamin Lecaros</cp:lastModifiedBy>
  <dcterms:created xsi:type="dcterms:W3CDTF">2015-06-05T18:17:20Z</dcterms:created>
  <dcterms:modified xsi:type="dcterms:W3CDTF">2026-02-02T14:41:26Z</dcterms:modified>
</cp:coreProperties>
</file>